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5a72e3102c462b" /></Relationships>
</file>

<file path=xl/workbook.xml><?xml version="1.0" encoding="utf-8"?>
<x:workbook xmlns:x="http://schemas.openxmlformats.org/spreadsheetml/2006/main">
  <x:sheets>
    <x:sheet xmlns:r="http://schemas.openxmlformats.org/officeDocument/2006/relationships" name="Findings" sheetId="1" r:id="R3d3b4b6227da43ec"/>
    <x:sheet xmlns:r="http://schemas.openxmlformats.org/officeDocument/2006/relationships" name="Evidence" sheetId="2" r:id="Rfee182f0b91b427e"/>
    <x:sheet xmlns:r="http://schemas.openxmlformats.org/officeDocument/2006/relationships" name="Method &amp; Spend" sheetId="3" r:id="Rc9af1e542c7342f7"/>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dd mmm yyyy"/>
    <x:numFmt numFmtId="202" formatCode="@"/>
    <x:numFmt numFmtId="203" formatCode="&quot;$&quot;0.000000"/>
    <x:numFmt numFmtId="204" formatCode="&quot;$&quot;0.00000"/>
  </x:numFmts>
  <x:fonts count="8">
    <x:font>
      <x:sz val="11"/>
      <x:name val="Carlito"/>
    </x:font>
    <x:font>
      <x:sz val="11"/>
      <x:color rgb="FF1F2937"/>
      <x:name val="Arial"/>
    </x:font>
    <x:font>
      <x:b/>
      <x:sz val="16"/>
      <x:color rgb="FF153B56"/>
      <x:name val="Arial"/>
    </x:font>
    <x:font>
      <x:i/>
      <x:sz val="11"/>
      <x:color rgb="FF526375"/>
      <x:name val="Arial"/>
    </x:font>
    <x:font>
      <x:b/>
      <x:sz val="11"/>
      <x:color rgb="FFFFFFFF"/>
      <x:name val="Arial"/>
    </x:font>
    <x:font>
      <x:b/>
      <x:sz val="11"/>
      <x:color rgb="FF1F2937"/>
      <x:name val="Arial"/>
    </x:font>
    <x:font>
      <x:sz val="11"/>
      <x:color rgb="FF176EAB"/>
      <x:name val="Arial"/>
    </x:font>
    <x:font>
      <x:b/>
      <x:sz val="14"/>
      <x:color rgb="FF153B56"/>
      <x:name val="Arial"/>
    </x:font>
  </x:fonts>
  <x:fills count="5">
    <x:fill>
      <x:patternFill patternType="none"/>
    </x:fill>
    <x:fill>
      <x:patternFill patternType="gray125"/>
    </x:fill>
    <x:fill>
      <x:patternFill patternType="solid">
        <x:fgColor rgb="FF153B56"/>
      </x:patternFill>
    </x:fill>
    <x:fill>
      <x:patternFill patternType="solid">
        <x:fgColor rgb="FFF3F7FA"/>
      </x:patternFill>
    </x:fill>
    <x:fill>
      <x:patternFill patternType="solid">
        <x:fgColor rgb="FFEAF2F8"/>
      </x:patternFill>
    </x:fill>
  </x:fills>
  <x:borders count="2">
    <x:border/>
    <x:border>
      <x:bottom style="thin">
        <x:color rgb="FFC7D6E2"/>
      </x:bottom>
    </x:border>
  </x:borders>
  <x:cellStyleXfs count="1">
    <x:xf numFmtId="0" fontId="0" fillId="0" borderId="0"/>
  </x:cellStyleXfs>
  <x:cellXfs count="3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1" xfId="0" applyNumberFormat="1" applyFont="1" applyFill="1" applyBorder="1" applyAlignment="1">
      <x:alignment vertical="center"/>
    </x:xf>
    <x:xf numFmtId="0" fontId="4" fillId="2" borderId="1" xfId="0" applyNumberFormat="1" applyFont="1" applyFill="1" applyBorder="1" applyAlignment="1">
      <x:alignment vertical="center" wrapText="1"/>
    </x:xf>
    <x:xf numFmtId="0" fontId="4" fillId="2" borderId="1"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right" vertical="top" wrapText="1"/>
    </x:xf>
    <x:xf numFmtId="200" fontId="1" fillId="0" borderId="0" xfId="0" applyNumberFormat="1" applyFont="1" applyFill="1" applyBorder="1" applyAlignment="1">
      <x:alignment horizontal="righ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horizontal="right" vertical="top" wrapText="1"/>
    </x:xf>
    <x:xf numFmtId="0" fontId="5" fillId="3"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5" fillId="0" borderId="0" xfId="0" applyNumberFormat="1" applyFont="1" applyFill="1" applyBorder="1" applyAlignment="1">
      <x:alignment vertical="center"/>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0" fontId="1" fillId="0" borderId="0" xfId="0" applyNumberFormat="1" applyFont="1" applyFill="1" applyBorder="1" applyAlignment="1">
      <x:alignment vertical="center"/>
    </x:xf>
    <x:xf numFmtId="200" fontId="1" fillId="0" borderId="0" xfId="0" applyNumberFormat="1" applyFont="1" applyFill="1" applyBorder="1" applyAlignment="1">
      <x:alignment horizontal="left" vertical="center"/>
    </x:xf>
    <x:xf numFmtId="203" fontId="1" fillId="0" borderId="0" xfId="0" applyNumberFormat="1" applyFont="1" applyFill="1" applyBorder="1" applyAlignment="1">
      <x:alignment vertical="center"/>
    </x:xf>
    <x:xf numFmtId="0" fontId="1" fillId="4" borderId="0" xfId="0" applyNumberFormat="1" applyFont="1" applyFill="1" applyBorder="1" applyAlignment="1">
      <x:alignment vertical="top" wrapText="1"/>
    </x:xf>
    <x:xf numFmtId="203" fontId="1" fillId="4" borderId="0" xfId="0" applyNumberFormat="1" applyFont="1" applyFill="1" applyBorder="1" applyAlignment="1">
      <x:alignment vertical="center"/>
    </x:xf>
    <x:xf numFmtId="0" fontId="5" fillId="4" borderId="0" xfId="0" applyNumberFormat="1" applyFont="1" applyFill="1" applyBorder="1" applyAlignment="1">
      <x:alignment vertical="top" wrapText="1"/>
    </x:xf>
    <x:xf numFmtId="203" fontId="5" fillId="4" borderId="0" xfId="0" applyNumberFormat="1" applyFont="1" applyFill="1" applyBorder="1" applyAlignment="1">
      <x:alignment vertical="center"/>
    </x:xf>
    <x:xf numFmtId="0" fontId="1" fillId="0" borderId="0" xfId="0" applyNumberFormat="1" applyFont="1" applyFill="1" applyBorder="1" applyAlignment="1">
      <x:alignment vertical="center" wrapText="0"/>
    </x:xf>
    <x:xf numFmtId="0" fontId="7" fillId="0" borderId="0" xfId="0" applyNumberFormat="1" applyFont="1" applyFill="1" applyBorder="1" applyAlignment="1">
      <x:alignment vertical="center"/>
    </x:xf>
    <x:xf numFmtId="204"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4" fontId="1" fillId="3" borderId="0" xfId="0" applyNumberFormat="1" applyFont="1" applyFill="1" applyBorder="1" applyAlignment="1">
      <x:alignment vertical="top" wrapText="1"/>
    </x:xf>
  </x:cellXfs>
  <x:cellStyles count="1">
    <x:cellStyle name="Normal" xfId="0"/>
  </x:cellStyles>
  <x:dxfs count="2">
    <x:dxf>
      <x:font>
        <x:color rgb="FF765015"/>
      </x:font>
      <x:fill>
        <x:patternFill patternType="solid">
          <x:bgColor rgb="FFFFF1CD"/>
        </x:patternFill>
      </x:fill>
    </x:dxf>
    <x:dxf>
      <x:font>
        <x:color rgb="FF153B56"/>
      </x:font>
      <x:fill>
        <x:patternFill patternType="solid">
          <x:bgColor rgb="FFEAF2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ee32d4f93645c9" /><Relationship Type="http://schemas.openxmlformats.org/officeDocument/2006/relationships/theme" Target="/xl/theme/theme1.xml" Id="R6ab734d4f7334b74" /><Relationship Type="http://schemas.openxmlformats.org/officeDocument/2006/relationships/sharedStrings" Target="/xl/sharedStrings.xml" Id="R58d51588e9ef4783" /><Relationship Type="http://schemas.openxmlformats.org/officeDocument/2006/relationships/worksheet" Target="/xl/worksheets/sheet1.xml" Id="R3d3b4b6227da43ec" /><Relationship Type="http://schemas.openxmlformats.org/officeDocument/2006/relationships/worksheet" Target="/xl/worksheets/sheet2.xml" Id="Rfee182f0b91b427e" /><Relationship Type="http://schemas.openxmlformats.org/officeDocument/2006/relationships/worksheet" Target="/xl/worksheets/sheet3.xml" Id="Rc9af1e542c7342f7" /></Relationships>
</file>

<file path=xl/tables/table1.xml><?xml version="1.0" encoding="utf-8"?>
<x:table xmlns:x="http://schemas.openxmlformats.org/spreadsheetml/2006/main" id="1" name="EvidenceTable" displayName="EvidenceTable" ref="A9:T55" headerRowCount="1" totalsRowCount="0" totalsRowShown="0">
  <x:autoFilter ref="A9:T55"/>
  <x:tableColumns count="20">
    <x:tableColumn id="1" name="ID"/>
    <x:tableColumn id="2" name="Use in findings"/>
    <x:tableColumn id="3" name="Theme"/>
    <x:tableColumn id="4" name="Account"/>
    <x:tableColumn id="5" name="Followers"/>
    <x:tableColumn id="6" name="Statement summary (paraphrase)"/>
    <x:tableColumn id="7" name="Interpretation"/>
    <x:tableColumn id="8" name="Limitation"/>
    <x:tableColumn id="9" name="Published (UTC)"/>
    <x:tableColumn id="10" name="Source"/>
    <x:tableColumn id="11" name="Source type"/>
    <x:tableColumn id="12" name="Evidence type"/>
    <x:tableColumn id="13" name="Affiliate program"/>
    <x:tableColumn id="14" name="Category basis"/>
    <x:tableColumn id="15" name="Geography basis"/>
    <x:tableColumn id="16" name="Qualification"/>
    <x:tableColumn id="17" name="Comment / post ID"/>
    <x:tableColumn id="18" name="Discussion cluster"/>
    <x:tableColumn id="19" name="Profile"/>
    <x:tableColumn id="20" name="Contrary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 />
</file>

<file path=xl/worksheets/_rels/sheet2.xml.rels><?xml version='1.0' encoding='utf-8'?>
<ns0:Relationships xmlns:ns0="http://schemas.openxmlformats.org/package/2006/relationships"><ns0:Relationship Type="http://schemas.openxmlformats.org/officeDocument/2006/relationships/table" Target="/xl/tables/table1.xml" Id="R8bde394fc5424665" /><ns0:Relationship Id="rIdLink1" Type="http://schemas.openxmlformats.org/officeDocument/2006/relationships/hyperlink" Target="https://www.tiktok.com/@sweetfairyy_7/video/7691917414488902932" TargetMode="External" /><ns0:Relationship Id="rIdLink2" Type="http://schemas.openxmlformats.org/officeDocument/2006/relationships/hyperlink" Target="https://www.tiktok.com/@sweetfairyy_7" TargetMode="External" /><ns0:Relationship Id="rIdLink3" Type="http://schemas.openxmlformats.org/officeDocument/2006/relationships/hyperlink" Target="https://www.tiktok.com/@yuliaries25/video/7691956494182583573" TargetMode="External" /><ns0:Relationship Id="rIdLink4" Type="http://schemas.openxmlformats.org/officeDocument/2006/relationships/hyperlink" Target="https://www.tiktok.com/@yuliaries25" TargetMode="External" /><ns0:Relationship Id="rIdLink5" Type="http://schemas.openxmlformats.org/officeDocument/2006/relationships/hyperlink" Target="https://www.tiktok.com/@maulydaratih/video/7689682966905228564" TargetMode="External" /><ns0:Relationship Id="rIdLink6" Type="http://schemas.openxmlformats.org/officeDocument/2006/relationships/hyperlink" Target="https://www.tiktok.com/@hdaanl26/video/7685331261358869768" TargetMode="External" /><ns0:Relationship Id="rIdLink7" Type="http://schemas.openxmlformats.org/officeDocument/2006/relationships/hyperlink" Target="https://www.tiktok.com/@hdaanl26" TargetMode="External" /><ns0:Relationship Id="rIdLink8" Type="http://schemas.openxmlformats.org/officeDocument/2006/relationships/hyperlink" Target="https://www.tiktok.com/@susiami96/video/7691912916735364372" TargetMode="External" /><ns0:Relationship Id="rIdLink9" Type="http://schemas.openxmlformats.org/officeDocument/2006/relationships/hyperlink" Target="https://www.tiktok.com/@susiami96" TargetMode="External" /><ns0:Relationship Id="rIdLink10" Type="http://schemas.openxmlformats.org/officeDocument/2006/relationships/hyperlink" Target="https://www.tiktok.com/@ibunya_maul/video/7691931055313521928" TargetMode="External" /><ns0:Relationship Id="rIdLink11" Type="http://schemas.openxmlformats.org/officeDocument/2006/relationships/hyperlink" Target="https://www.tiktok.com/@ibunya_maul" TargetMode="External" /><ns0:Relationship Id="rIdLink12" Type="http://schemas.openxmlformats.org/officeDocument/2006/relationships/hyperlink" Target="https://www.tiktok.com/@tunnisafarha/video/7691116062296804609" TargetMode="External" /><ns0:Relationship Id="rIdLink13" Type="http://schemas.openxmlformats.org/officeDocument/2006/relationships/hyperlink" Target="https://www.tiktok.com/@tunnisafarha" TargetMode="External" /><ns0:Relationship Id="rIdLink14" Type="http://schemas.openxmlformats.org/officeDocument/2006/relationships/hyperlink" Target="https://www.tiktok.com/@lapakimutku/video/7689844994273758485" TargetMode="External" /><ns0:Relationship Id="rIdLink15" Type="http://schemas.openxmlformats.org/officeDocument/2006/relationships/hyperlink" Target="https://www.tiktok.com/@lapakimutku" TargetMode="External" /><ns0:Relationship Id="rIdLink16" Type="http://schemas.openxmlformats.org/officeDocument/2006/relationships/hyperlink" Target="https://www.tiktok.com/@putri_putch/video/7690444496995192085" TargetMode="External" /><ns0:Relationship Id="rIdLink17" Type="http://schemas.openxmlformats.org/officeDocument/2006/relationships/hyperlink" Target="https://www.tiktok.com/@putri_putch" TargetMode="External" /><ns0:Relationship Id="rIdLink18" Type="http://schemas.openxmlformats.org/officeDocument/2006/relationships/hyperlink" Target="https://www.tiktok.com/@shoppingbeb6/video/7689843139418279175" TargetMode="External" /><ns0:Relationship Id="rIdLink19" Type="http://schemas.openxmlformats.org/officeDocument/2006/relationships/hyperlink" Target="https://www.tiktok.com/@shoppingbeb6" TargetMode="External" /><ns0:Relationship Id="rIdLink20" Type="http://schemas.openxmlformats.org/officeDocument/2006/relationships/hyperlink" Target="https://www.tiktok.com/@lailatulfatichah/video/7691324968663125255" TargetMode="External" /><ns0:Relationship Id="rIdLink21" Type="http://schemas.openxmlformats.org/officeDocument/2006/relationships/hyperlink" Target="https://www.tiktok.com/@lailatulfatichah" TargetMode="External" /><ns0:Relationship Id="rIdLink22" Type="http://schemas.openxmlformats.org/officeDocument/2006/relationships/hyperlink" Target="https://www.tiktok.com/@acoh845/video/7690916875881958677" TargetMode="External" /><ns0:Relationship Id="rIdLink23" Type="http://schemas.openxmlformats.org/officeDocument/2006/relationships/hyperlink" Target="https://www.tiktok.com/@acoh845" TargetMode="External" /><ns0:Relationship Id="rIdLink24" Type="http://schemas.openxmlformats.org/officeDocument/2006/relationships/hyperlink" Target="https://www.tiktok.com/@fatoumataofficial_/video/7689538487082667295" TargetMode="External" /><ns0:Relationship Id="rIdLink25" Type="http://schemas.openxmlformats.org/officeDocument/2006/relationships/hyperlink" Target="https://www.tiktok.com/@fatoumataofficial_" TargetMode="External" /><ns0:Relationship Id="rIdLink26" Type="http://schemas.openxmlformats.org/officeDocument/2006/relationships/hyperlink" Target="https://www.tiktok.com/@tarialrasyid/video/7662955302513331477" TargetMode="External" /><ns0:Relationship Id="rIdLink27" Type="http://schemas.openxmlformats.org/officeDocument/2006/relationships/hyperlink" Target="https://www.tiktok.com/@tarialrasyid" TargetMode="External" /><ns0:Relationship Id="rIdLink28" Type="http://schemas.openxmlformats.org/officeDocument/2006/relationships/hyperlink" Target="https://www.tiktok.com/@elisrecommends/video/7687624645742742804" TargetMode="External" /><ns0:Relationship Id="rIdLink29" Type="http://schemas.openxmlformats.org/officeDocument/2006/relationships/hyperlink" Target="https://www.tiktok.com/@siva_794" TargetMode="External" /><ns0:Relationship Id="rIdLink30" Type="http://schemas.openxmlformats.org/officeDocument/2006/relationships/hyperlink" Target="https://www.tiktok.com/@elisrecommends/video/7687624645742742804" TargetMode="External" /><ns0:Relationship Id="rIdLink31" Type="http://schemas.openxmlformats.org/officeDocument/2006/relationships/hyperlink" Target="https://www.tiktok.com/@wiana073" TargetMode="External" /><ns0:Relationship Id="rIdLink32" Type="http://schemas.openxmlformats.org/officeDocument/2006/relationships/hyperlink" Target="https://www.tiktok.com/@elisrecommends/video/7687624645742742804" TargetMode="External" /><ns0:Relationship Id="rIdLink33" Type="http://schemas.openxmlformats.org/officeDocument/2006/relationships/hyperlink" Target="https://www.tiktok.com/@echaaaa767" TargetMode="External" /><ns0:Relationship Id="rIdLink34" Type="http://schemas.openxmlformats.org/officeDocument/2006/relationships/hyperlink" Target="https://www.tiktok.com/@elisrecommends/video/7687624645742742804" TargetMode="External" /><ns0:Relationship Id="rIdLink35" Type="http://schemas.openxmlformats.org/officeDocument/2006/relationships/hyperlink" Target="https://www.tiktok.com/@.taa125" TargetMode="External" /><ns0:Relationship Id="rIdLink36" Type="http://schemas.openxmlformats.org/officeDocument/2006/relationships/hyperlink" Target="https://www.tiktok.com/@hdaanl26/video/7685331261358869768" TargetMode="External" /><ns0:Relationship Id="rIdLink37" Type="http://schemas.openxmlformats.org/officeDocument/2006/relationships/hyperlink" Target="https://www.tiktok.com/@ndaptrisa" TargetMode="External" /><ns0:Relationship Id="rIdLink38" Type="http://schemas.openxmlformats.org/officeDocument/2006/relationships/hyperlink" Target="https://www.tiktok.com/@hdaanl26/video/7685331261358869768" TargetMode="External" /><ns0:Relationship Id="rIdLink39" Type="http://schemas.openxmlformats.org/officeDocument/2006/relationships/hyperlink" Target="https://www.tiktok.com/@mylive895" TargetMode="External" /><ns0:Relationship Id="rIdLink40" Type="http://schemas.openxmlformats.org/officeDocument/2006/relationships/hyperlink" Target="https://www.tiktok.com/@elisrecommends/video/7687624645742742804" TargetMode="External" /><ns0:Relationship Id="rIdLink41" Type="http://schemas.openxmlformats.org/officeDocument/2006/relationships/hyperlink" Target="https://www.tiktok.com/@rora.aurora582" TargetMode="External" /><ns0:Relationship Id="rIdLink42" Type="http://schemas.openxmlformats.org/officeDocument/2006/relationships/hyperlink" Target="https://www.tiktok.com/@yuliaries25/video/7691956494182583573" TargetMode="External" /><ns0:Relationship Id="rIdLink43" Type="http://schemas.openxmlformats.org/officeDocument/2006/relationships/hyperlink" Target="https://www.tiktok.com/@gerecepin" TargetMode="External" /><ns0:Relationship Id="rIdLink44" Type="http://schemas.openxmlformats.org/officeDocument/2006/relationships/hyperlink" Target="https://www.tiktok.com/@lailatulfatichah/video/7691324968663125255" TargetMode="External" /><ns0:Relationship Id="rIdLink45" Type="http://schemas.openxmlformats.org/officeDocument/2006/relationships/hyperlink" Target="https://www.tiktok.com/@kakarichia" TargetMode="External" /><ns0:Relationship Id="rIdLink46" Type="http://schemas.openxmlformats.org/officeDocument/2006/relationships/hyperlink" Target="https://www.tiktok.com/@lailatulfatichah/video/7691324968663125255" TargetMode="External" /><ns0:Relationship Id="rIdLink47" Type="http://schemas.openxmlformats.org/officeDocument/2006/relationships/hyperlink" Target="https://www.tiktok.com/@dbstore4" TargetMode="External" /><ns0:Relationship Id="rIdLink48" Type="http://schemas.openxmlformats.org/officeDocument/2006/relationships/hyperlink" Target="https://www.tiktok.com/@lailatulfatichah/video/7691324968663125255" TargetMode="External" /><ns0:Relationship Id="rIdLink49" Type="http://schemas.openxmlformats.org/officeDocument/2006/relationships/hyperlink" Target="https://www.tiktok.com/@maulydaratih/video/7689682966905228564" TargetMode="External" /><ns0:Relationship Id="rIdLink50" Type="http://schemas.openxmlformats.org/officeDocument/2006/relationships/hyperlink" Target="https://www.tiktok.com/@ervinayu1" TargetMode="External" /><ns0:Relationship Id="rIdLink51" Type="http://schemas.openxmlformats.org/officeDocument/2006/relationships/hyperlink" Target="https://www.tiktok.com/@maulydaratih/video/7689682966905228564" TargetMode="External" /><ns0:Relationship Id="rIdLink52" Type="http://schemas.openxmlformats.org/officeDocument/2006/relationships/hyperlink" Target="https://www.tiktok.com/@hanifh_24" TargetMode="External" /><ns0:Relationship Id="rIdLink53" Type="http://schemas.openxmlformats.org/officeDocument/2006/relationships/hyperlink" Target="https://www.tiktok.com/@maulydaratih/video/7689682966905228564" TargetMode="External" /><ns0:Relationship Id="rIdLink54" Type="http://schemas.openxmlformats.org/officeDocument/2006/relationships/hyperlink" Target="https://www.tiktok.com/@mufieshope" TargetMode="External" /><ns0:Relationship Id="rIdLink55" Type="http://schemas.openxmlformats.org/officeDocument/2006/relationships/hyperlink" Target="https://www.tiktok.com/@maulydaratih/video/7689682966905228564" TargetMode="External" /><ns0:Relationship Id="rIdLink56" Type="http://schemas.openxmlformats.org/officeDocument/2006/relationships/hyperlink" Target="https://www.tiktok.com/@debby.rosliana" TargetMode="External" /><ns0:Relationship Id="rIdLink57" Type="http://schemas.openxmlformats.org/officeDocument/2006/relationships/hyperlink" Target="https://www.tiktok.com/@maulydaratih/video/7689682966905228564" TargetMode="External" /><ns0:Relationship Id="rIdLink58" Type="http://schemas.openxmlformats.org/officeDocument/2006/relationships/hyperlink" Target="https://www.tiktok.com/@diantaridia" TargetMode="External" /><ns0:Relationship Id="rIdLink59" Type="http://schemas.openxmlformats.org/officeDocument/2006/relationships/hyperlink" Target="https://www.tiktok.com/@sweetfairyy_7/video/7691917414488902932" TargetMode="External" /><ns0:Relationship Id="rIdLink60" Type="http://schemas.openxmlformats.org/officeDocument/2006/relationships/hyperlink" Target="https://www.tiktok.com/@maulydaratih/video/7689682966905228564" TargetMode="External" /><ns0:Relationship Id="rIdLink61" Type="http://schemas.openxmlformats.org/officeDocument/2006/relationships/hyperlink" Target="https://www.tiktok.com/@yuliaries25/video/7691956494182583573" TargetMode="External" /><ns0:Relationship Id="rIdLink62" Type="http://schemas.openxmlformats.org/officeDocument/2006/relationships/hyperlink" Target="https://www.tiktok.com/@yuliaries25" TargetMode="External" /><ns0:Relationship Id="rIdLink63" Type="http://schemas.openxmlformats.org/officeDocument/2006/relationships/hyperlink" Target="https://www.tiktok.com/@ripkima_/video/7691340178606066951" TargetMode="External" /><ns0:Relationship Id="rIdLink64" Type="http://schemas.openxmlformats.org/officeDocument/2006/relationships/hyperlink" Target="https://www.tiktok.com/@ripkima_" TargetMode="External" /><ns0:Relationship Id="rIdLink65" Type="http://schemas.openxmlformats.org/officeDocument/2006/relationships/hyperlink" Target="https://www.tiktok.com/@ripkima_/video/7691340178606066951" TargetMode="External" /><ns0:Relationship Id="rIdLink66" Type="http://schemas.openxmlformats.org/officeDocument/2006/relationships/hyperlink" Target="https://www.tiktok.com/@bebikinantwin" TargetMode="External" /><ns0:Relationship Id="rIdLink67" Type="http://schemas.openxmlformats.org/officeDocument/2006/relationships/hyperlink" Target="https://www.tiktok.com/@ripkima_/video/7691340178606066951" TargetMode="External" /><ns0:Relationship Id="rIdLink68" Type="http://schemas.openxmlformats.org/officeDocument/2006/relationships/hyperlink" Target="https://www.tiktok.com/@iraayuyu" TargetMode="External" /><ns0:Relationship Id="rIdLink69" Type="http://schemas.openxmlformats.org/officeDocument/2006/relationships/hyperlink" Target="https://www.tiktok.com/@ripkima_/video/7691340178606066951" TargetMode="External" /><ns0:Relationship Id="rIdLink70" Type="http://schemas.openxmlformats.org/officeDocument/2006/relationships/hyperlink" Target="https://www.tiktok.com/@aarsya64" TargetMode="External" /><ns0:Relationship Id="rIdLink71" Type="http://schemas.openxmlformats.org/officeDocument/2006/relationships/hyperlink" Target="https://www.tiktok.com/@ripkima_/video/7691340178606066951" TargetMode="External" /><ns0:Relationship Id="rIdLink72" Type="http://schemas.openxmlformats.org/officeDocument/2006/relationships/hyperlink" Target="https://www.tiktok.com/@nazqueen74" TargetMode="External" /><ns0:Relationship Id="rIdLink73" Type="http://schemas.openxmlformats.org/officeDocument/2006/relationships/hyperlink" Target="https://www.tiktok.com/@noonastyle20/video/7689764650803645703" TargetMode="External" /><ns0:Relationship Id="rIdLink74" Type="http://schemas.openxmlformats.org/officeDocument/2006/relationships/hyperlink" Target="https://www.tiktok.com/@belbel4192" TargetMode="External" /><ns0:Relationship Id="rIdLink75" Type="http://schemas.openxmlformats.org/officeDocument/2006/relationships/hyperlink" Target="https://www.tiktok.com/@noonastyle20/video/7689764650803645703" TargetMode="External" /><ns0:Relationship Id="rIdLink76" Type="http://schemas.openxmlformats.org/officeDocument/2006/relationships/hyperlink" Target="https://www.tiktok.com/@mfshop123" TargetMode="External" /><ns0:Relationship Id="rIdLink77" Type="http://schemas.openxmlformats.org/officeDocument/2006/relationships/hyperlink" Target="https://www.tiktok.com/@deyuramc/video/7667136033665846535" TargetMode="External" /><ns0:Relationship Id="rIdLink78" Type="http://schemas.openxmlformats.org/officeDocument/2006/relationships/hyperlink" Target="https://www.tiktok.com/@flanker585" TargetMode="External" /><ns0:Relationship Id="rIdLink79" Type="http://schemas.openxmlformats.org/officeDocument/2006/relationships/hyperlink" Target="https://www.tiktok.com/@noonastyle20/video/7689764650803645703" TargetMode="External" /><ns0:Relationship Id="rIdLink80" Type="http://schemas.openxmlformats.org/officeDocument/2006/relationships/hyperlink" Target="https://www.tiktok.com/@fitpockette/video/7691931418896715016" TargetMode="External" /><ns0:Relationship Id="rIdLink81" Type="http://schemas.openxmlformats.org/officeDocument/2006/relationships/hyperlink" Target="https://www.tiktok.com/@fitpockette" TargetMode="External" /><ns0:Relationship Id="rIdLink82" Type="http://schemas.openxmlformats.org/officeDocument/2006/relationships/hyperlink" Target="https://www.tiktok.com/@viaindriani_/video/7684244374208728340" TargetMode="External" /><ns0:Relationship Id="rIdLink83" Type="http://schemas.openxmlformats.org/officeDocument/2006/relationships/hyperlink" Target="https://www.tiktok.com/@viaindriani_" TargetMode="External" /><ns0:Relationship Id="rIdLink84" Type="http://schemas.openxmlformats.org/officeDocument/2006/relationships/hyperlink" Target="https://www.tiktok.com/@mariaulfahyaa/video/7638416779416472853" TargetMode="External" /><ns0:Relationship Id="rIdLink85" Type="http://schemas.openxmlformats.org/officeDocument/2006/relationships/hyperlink" Target="https://www.tiktok.com/@mariaulfahyaa" TargetMode="External" /><ns0:Relationship Id="rIdLink86" Type="http://schemas.openxmlformats.org/officeDocument/2006/relationships/hyperlink" Target="https://www.tiktok.com/@leustia.nuna/video/7691254300298726664" TargetMode="External" /><ns0:Relationship Id="rIdLink87" Type="http://schemas.openxmlformats.org/officeDocument/2006/relationships/hyperlink" Target="https://www.tiktok.com/@leustia.nuna" TargetMode="External" /></ns0:Relationships>
</file>

<file path=xl/worksheets/_rels/sheet3.xml.rels><?xml version='1.0' encoding='utf-8'?>
<ns0:Relationships xmlns:ns0="http://schemas.openxmlformats.org/package/2006/relationships"><ns0:Relationship Id="rIdLink1" Type="http://schemas.openxmlformats.org/officeDocument/2006/relationships/hyperlink" Target="https://console.apify.com/actors/runs/toe1qVy3TJUhnuyda" TargetMode="External" /><ns0:Relationship Id="rIdLink2" Type="http://schemas.openxmlformats.org/officeDocument/2006/relationships/hyperlink" Target="https://console.apify.com/storage/datasets/emh5tr1IkpKUORZrO" TargetMode="External" /><ns0:Relationship Id="rIdLink3" Type="http://schemas.openxmlformats.org/officeDocument/2006/relationships/hyperlink" Target="https://console.apify.com/actors/runs/mfBfxbPr3AOQmN6iv" TargetMode="External" /><ns0:Relationship Id="rIdLink4" Type="http://schemas.openxmlformats.org/officeDocument/2006/relationships/hyperlink" Target="https://console.apify.com/storage/datasets/me4EeJVheEwjQqQQd" TargetMode="External" /><ns0:Relationship Id="rIdLink5" Type="http://schemas.openxmlformats.org/officeDocument/2006/relationships/hyperlink" Target="https://console.apify.com/actors/runs/NU5eXJ1byanjj4fTS" TargetMode="External" /><ns0:Relationship Id="rIdLink6" Type="http://schemas.openxmlformats.org/officeDocument/2006/relationships/hyperlink" Target="https://console.apify.com/storage/datasets/3PvVBWLuyDOoqT7QU" TargetMode="External" /><ns0:Relationship Id="rIdLink7" Type="http://schemas.openxmlformats.org/officeDocument/2006/relationships/hyperlink" Target="https://console.apify.com/actors/runs/bj394ICWXrg9ycF0F" TargetMode="External" /><ns0:Relationship Id="rIdLink8" Type="http://schemas.openxmlformats.org/officeDocument/2006/relationships/hyperlink" Target="https://console.apify.com/storage/datasets/wXCYXEabkaj9cFPGj" TargetMode="External" /><ns0:Relationship Id="rIdLink9" Type="http://schemas.openxmlformats.org/officeDocument/2006/relationships/hyperlink" Target="https://console.apify.com/actors/runs/Qo0sUzylWTcCuCrpt" TargetMode="External" /><ns0:Relationship Id="rIdLink10" Type="http://schemas.openxmlformats.org/officeDocument/2006/relationships/hyperlink" Target="https://console.apify.com/storage/datasets/U5lCBf1noz4RjL9Hi" TargetMode="External" /><ns0:Relationship Id="rIdLink11" Type="http://schemas.openxmlformats.org/officeDocument/2006/relationships/hyperlink" Target="https://console.apify.com/actors/runs/bAaqeqWGudbankRcx" TargetMode="External" /><ns0:Relationship Id="rIdLink12" Type="http://schemas.openxmlformats.org/officeDocument/2006/relationships/hyperlink" Target="https://console.apify.com/storage/datasets/HZmDcem4BjyuSrheQ" TargetMode="External" /><ns0:Relationship Id="rIdLink13" Type="http://schemas.openxmlformats.org/officeDocument/2006/relationships/hyperlink" Target="https://console.apify.com/actors/runs/d5XfmVVRDsQcO4te2" TargetMode="External" /><ns0:Relationship Id="rIdLink14" Type="http://schemas.openxmlformats.org/officeDocument/2006/relationships/hyperlink" Target="https://console.apify.com/storage/datasets/dOxuS3xq7X4BQitTJ" TargetMode="External" /><ns0:Relationship Id="rIdLink15" Type="http://schemas.openxmlformats.org/officeDocument/2006/relationships/hyperlink" Target="https://console.apify.com/actors/runs/qcg1UVcgMzWbBUHkR" TargetMode="External" /><ns0:Relationship Id="rIdLink16" Type="http://schemas.openxmlformats.org/officeDocument/2006/relationships/hyperlink" Target="https://console.apify.com/storage/datasets/0WvQ0ADCVteqHDo6k" TargetMode="External" /><ns0:Relationship Id="rIdLink17" Type="http://schemas.openxmlformats.org/officeDocument/2006/relationships/hyperlink" Target="https://console.apify.com/actors/runs/4EdTg9j4B8QaveFls" TargetMode="External" /><ns0:Relationship Id="rIdLink18" Type="http://schemas.openxmlformats.org/officeDocument/2006/relationships/hyperlink" Target="https://console.apify.com/storage/datasets/E5hog10WwqoQonuTO" TargetMode="External" /></ns0:Relationships>
</file>

<file path=xl/worksheets/sheet1.xml><?xml version="1.0" encoding="utf-8"?>
<worksheet xmlns="http://schemas.openxmlformats.org/spreadsheetml/2006/main">
  <sheetPr>
    <tabColor rgb="FF153B56"/>
  </sheetPr>
  <sheetViews>
    <sheetView showGridLines="0" workbookViewId="0"/>
  </sheetViews>
  <sheetFormatPr defaultRowHeight="15"/>
  <cols>
    <col min="1" max="1" width="2.440000057220459" hidden="0" customWidth="1"/>
    <col min="2" max="2" width="26.110000610351562" hidden="0" customWidth="1"/>
    <col min="3" max="3" width="8.670000076293945" hidden="0" customWidth="1"/>
    <col min="4" max="4" width="8.670000076293945" hidden="0" customWidth="1"/>
    <col min="5" max="5" width="40" hidden="0" customWidth="1"/>
    <col min="6" max="6" width="42.220001220703125" hidden="0" customWidth="1"/>
    <col min="7" max="7" width="13.109999656677246" hidden="0" customWidth="1"/>
  </cols>
  <sheetData>
    <row r="1">
      <c r="A1" s="2"/>
      <c r="B1" s="2"/>
      <c r="C1" s="2"/>
      <c r="D1" s="2"/>
      <c r="E1" s="2"/>
      <c r="F1" s="2"/>
      <c r="G1" s="2"/>
    </row>
    <row r="2" ht="27" customHeight="1">
      <c r="A2" s="2"/>
      <c r="B2" s="3" t="str">
        <v>Blibli creator needs</v>
      </c>
      <c r="C2" s="2"/>
      <c r="D2" s="2"/>
      <c r="E2" s="2"/>
      <c r="F2" s="2"/>
      <c r="G2" s="2"/>
    </row>
    <row r="3">
      <c r="A3" s="2"/>
      <c r="B3" s="4" t="str">
        <v>Exploratory first research pass · 3 October 2026</v>
      </c>
      <c r="C3" s="2"/>
      <c r="D3" s="2"/>
      <c r="E3" s="2"/>
      <c r="F3" s="2"/>
      <c r="G3" s="2"/>
    </row>
    <row r="4">
      <c r="A4" s="2"/>
      <c r="B4" s="5"/>
      <c r="C4" s="5"/>
      <c r="D4" s="5"/>
      <c r="E4" s="5"/>
      <c r="F4" s="5"/>
      <c r="G4" s="5"/>
    </row>
    <row r="5" ht="20" customHeight="1">
      <c r="A5" s="2"/>
      <c r="B5" s="2" t="str">
        <v>26 qualifying platform accounts; 28 core statements across 10 discussion clusters.</v>
      </c>
      <c r="C5" s="2"/>
      <c r="D5" s="2"/>
      <c r="E5" s="2"/>
      <c r="F5" s="2"/>
      <c r="G5" s="2"/>
    </row>
    <row r="6" ht="20" customHeight="1">
      <c r="A6" s="2"/>
      <c r="B6" s="2" t="str">
        <v>20 accounts at 1,000–9,999 followers; 6 below 1,000. Accounts are not verified unique people.</v>
      </c>
      <c r="C6" s="2"/>
      <c r="D6" s="2"/>
      <c r="E6" s="2"/>
      <c r="F6" s="2"/>
      <c r="G6" s="2"/>
    </row>
    <row r="7" ht="20" customHeight="1">
      <c r="A7" s="2"/>
      <c r="B7" s="2" t="str">
        <v>Counts describe this selected sample, not population prevalence or rankings.</v>
      </c>
      <c r="C7" s="2"/>
      <c r="D7" s="2"/>
      <c r="E7" s="2"/>
      <c r="F7" s="2"/>
      <c r="G7" s="2"/>
    </row>
    <row r="8">
      <c r="A8" s="2"/>
      <c r="B8" s="2"/>
      <c r="C8" s="2"/>
      <c r="D8" s="2"/>
      <c r="E8" s="2"/>
      <c r="F8" s="2"/>
      <c r="G8" s="2"/>
    </row>
    <row r="9" ht="32" customHeight="1">
      <c r="A9" s="2"/>
      <c r="B9" s="10" t="str">
        <v>Need to test</v>
      </c>
      <c r="C9" s="10" t="str">
        <v>Accounts</v>
      </c>
      <c r="D9" s="10" t="str">
        <v>Clusters</v>
      </c>
      <c r="E9" s="10" t="str">
        <v>Observed evidence and limits</v>
      </c>
      <c r="F9" s="10" t="str">
        <v>Proposed Blibli test</v>
      </c>
      <c r="G9" s="10" t="str">
        <v>Evidence IDs</v>
      </c>
    </row>
    <row r="10" ht="110" customHeight="1">
      <c r="A10" s="2"/>
      <c r="B10" s="17" t="str">
        <v>Earnings clarity
Understand how a sale becomes an eligible, payable commission.</v>
      </c>
      <c r="C10" s="16" t="n">
        <v>6</v>
      </c>
      <c r="D10" s="16" t="n">
        <v>3</v>
      </c>
      <c r="E10" s="15" t="str">
        <v>Sales did not always produce the commission accounts expected. One says a similar issue eventually cleared. Three discussion clusters; causes and settlement stages remain unverified.</v>
      </c>
      <c r="F10" s="15" t="str">
        <v>Make tracked sale, approved commission and payment stages understandable. Compare current information with a clearer sale-status explanation; check comprehension and the next action.</v>
      </c>
      <c r="G10" s="18" t="str">
        <v>E01, E02, E11, E22, E23, E24, E33</v>
      </c>
    </row>
    <row r="11" ht="110" customHeight="1">
      <c r="A11" s="2"/>
      <c r="B11" s="19" t="str">
        <v>Product access
Have a realistic route to products worth creating content about.</v>
      </c>
      <c r="C11" s="14" t="n">
        <v>8</v>
      </c>
      <c r="D11" s="14" t="n">
        <v>2</v>
      </c>
      <c r="E11" s="12" t="str">
        <v>Rejected or ignored sample requests recur; one account celebrates approval. An expensive sample was approved after a cheaper one was rejected. Two clusters; low product price alone is not a demonstrated solution.</v>
      </c>
      <c r="F11" s="12" t="str">
        <v>Test transparent sample eligibility and creator–product matching within each category. Measure usable content and approved sales. Treat store demonstrations and loaned products as separate hypotheses.</v>
      </c>
      <c r="G11" s="20" t="str">
        <v>E04, E15, E16, E17, E18, E19, E20, E21</v>
      </c>
    </row>
    <row r="12" ht="110" customHeight="1">
      <c r="A12" s="2"/>
      <c r="B12" s="17" t="str">
        <v>Stable compensation
Know the earning terms before investing effort and avoid unexpected changes.</v>
      </c>
      <c r="C12" s="16" t="n">
        <v>5</v>
      </c>
      <c r="D12" s="16" t="n">
        <v>1</v>
      </c>
      <c r="E12" s="15" t="str">
        <v>Accounts ask for steady terms or report reduced/removed commission. One contrasts strong sales at a lower rate with weak sales at a higher rate. Five accounts share one discussion cluster.</v>
      </c>
      <c r="F12" s="15" t="str">
        <v>Show the applicable rate, eligibility and effective period. Compare understandable, time-bounded terms with a headline-rate offer, using realistic demand, returns and costs.</v>
      </c>
      <c r="G12" s="18" t="str">
        <v>E03, E26, E27, E29, E30, E32</v>
      </c>
    </row>
    <row r="13" ht="110" customHeight="1">
      <c r="A13" s="2"/>
      <c r="B13" s="19" t="str">
        <v>Early proof
See a credible early sign that effort can produce earnings.</v>
      </c>
      <c r="C13" s="14" t="n">
        <v>2</v>
      </c>
      <c r="D13" s="14" t="n">
        <v>2</v>
      </c>
      <c r="E13" s="12" t="str">
        <v>One account values a small first commission as proof it can earn. Another asks for encouragement after a day without a sale. Both are below 1,000 followers; this is not a universal priority.</v>
      </c>
      <c r="F13" s="12" t="str">
        <v>Test a guided first-content-to-approved-commission journey against current onboarding. Keep eligible sale, approved commission, first payment and repeat activity separate; promise no income.</v>
      </c>
      <c r="G13" s="20" t="str">
        <v>E08, E10</v>
      </c>
    </row>
    <row r="14" ht="110" customHeight="1">
      <c r="A14" s="2"/>
      <c r="B14" s="17" t="str">
        <v>Practical help
Get specific guidance on the next action and match support to experience.</v>
      </c>
      <c r="C14" s="16" t="n">
        <v>3</v>
      </c>
      <c r="D14" s="16" t="n">
        <v>1</v>
      </c>
      <c r="E14" s="15" t="str">
        <v>Specific difficulties include voice-over and stalled progress. A Day 6 account was actually a third account after prior experience. Three accounts in one cluster; small does not mean beginner.</v>
      </c>
      <c r="F14" s="15" t="str">
        <v>Ask about experience and the blocked task, then offer a relevant example or feedback. Compare task-specific support with generic onboarding for new and experienced small-account creators.</v>
      </c>
      <c r="G14" s="18" t="str">
        <v>E39, E40, E42</v>
      </c>
    </row>
    <row r="15" ht="110" customHeight="1">
      <c r="A15" s="2"/>
      <c r="B15" s="19" t="str">
        <v>Mission clarity
Know exactly which activity counts toward a mission.</v>
      </c>
      <c r="C15" s="14" t="n">
        <v>2</v>
      </c>
      <c r="D15" s="14" t="n">
        <v>1</v>
      </c>
      <c r="E15" s="12" t="str">
        <v>Two accounts discuss split live sessions and differing mission targets or progress. One Shopee Live campaign cluster; neither a tracking defect nor a Blibli problem is established.</v>
      </c>
      <c r="F15" s="12" t="str">
        <v>Test plain-language conditions and progress examples for an applicable Blibli campaign. Ask creators which example sessions qualify before proposing product changes.</v>
      </c>
      <c r="G15" s="20" t="str">
        <v>E34, E38</v>
      </c>
    </row>
    <row r="16">
      <c r="A16" s="2"/>
      <c r="B16" s="2"/>
      <c r="C16" s="2"/>
      <c r="D16" s="2"/>
      <c r="E16" s="2"/>
      <c r="F16" s="2"/>
      <c r="G16" s="2"/>
    </row>
    <row r="17">
      <c r="A17" s="2"/>
      <c r="B17" s="21" t="str">
        <v>What remains open</v>
      </c>
      <c r="C17" s="2"/>
      <c r="D17" s="2"/>
      <c r="E17" s="2"/>
      <c r="F17" s="2"/>
      <c r="G17" s="2"/>
    </row>
    <row r="18" ht="23" customHeight="1">
      <c r="A18" s="2"/>
      <c r="B18" s="2" t="str">
        <v>No usable independent current Blibli firsthand testimony: these are hypotheses for Blibli, not established Blibli dissatisfaction or switching intent.</v>
      </c>
      <c r="C18" s="2"/>
      <c r="D18" s="2"/>
      <c r="E18" s="2"/>
      <c r="F18" s="2"/>
      <c r="G18" s="2"/>
    </row>
    <row r="19" ht="23" customHeight="1">
      <c r="A19" s="2"/>
      <c r="B19" s="2" t="str">
        <v>No city tiers verified. Indonesian language, source metadata and proxy location do not establish residence or Tier 2/3 needs.</v>
      </c>
      <c r="C19" s="2"/>
      <c r="D19" s="2"/>
      <c r="E19" s="2"/>
      <c r="F19" s="2"/>
      <c r="G19" s="2"/>
    </row>
    <row r="20" ht="23" customHeight="1">
      <c r="A20" s="2"/>
      <c r="B20" s="2" t="str">
        <v>No balanced category winner. Home &amp; Living as the priority category remains provisional; test Beauty, Fashion and Home &amp; Living comparably.</v>
      </c>
      <c r="C20" s="2"/>
      <c r="D20" s="2"/>
      <c r="E20" s="2"/>
      <c r="F20" s="2"/>
      <c r="G20" s="2"/>
    </row>
    <row r="21">
      <c r="A21" s="2"/>
      <c r="B21" s="2"/>
      <c r="C21" s="2"/>
      <c r="D21" s="2"/>
      <c r="E21" s="2"/>
      <c r="F21" s="2"/>
      <c r="G21" s="2"/>
    </row>
    <row r="22">
      <c r="A22" s="2"/>
      <c r="B22" s="21" t="str">
        <v>Next validation</v>
      </c>
      <c r="C22" s="2"/>
      <c r="D22" s="2"/>
      <c r="E22" s="2"/>
      <c r="F22" s="2"/>
      <c r="G22" s="2"/>
    </row>
    <row r="23" ht="23" customHeight="1">
      <c r="A23" s="2"/>
      <c r="B23" s="2" t="str">
        <v>Use neutral problem interviews and concrete offer comparisons across all three categories and both follower bands, recording experience separately.</v>
      </c>
      <c r="C23" s="2"/>
      <c r="D23" s="2"/>
      <c r="E23" s="2"/>
      <c r="F23" s="2"/>
      <c r="G23" s="2"/>
    </row>
    <row r="24" ht="23" customHeight="1">
      <c r="A24" s="2"/>
      <c r="B24" s="2" t="str">
        <v>Prioritize earnings comprehension and product access; measure approved earnings and repeat activity alongside product, incentive and support costs.</v>
      </c>
      <c r="C24" s="2"/>
      <c r="D24" s="2"/>
      <c r="E24" s="2"/>
      <c r="F24" s="2"/>
      <c r="G24" s="2"/>
    </row>
    <row r="25">
      <c r="A25" s="2"/>
      <c r="B25" s="2"/>
      <c r="C25" s="2"/>
      <c r="D25" s="2"/>
      <c r="E25" s="2"/>
      <c r="F25" s="2"/>
      <c r="G25" s="2"/>
    </row>
    <row r="26">
      <c r="A26" s="2"/>
      <c r="B26" s="4" t="str">
        <v>All statement summaries in this workbook are paraphrases, not verbatim quotations. Source records and eligibility are in Evidence.</v>
      </c>
      <c r="C26" s="2"/>
      <c r="D26" s="2"/>
      <c r="E26" s="2"/>
      <c r="F26" s="2"/>
      <c r="G26" s="2"/>
    </row>
    <row r="27">
      <c r="A27" s="2"/>
      <c r="B27" s="2"/>
      <c r="C27" s="2"/>
      <c r="D27" s="2"/>
      <c r="E27" s="2"/>
      <c r="F27" s="2"/>
      <c r="G27" s="2"/>
    </row>
    <row r="28" ht="23" customHeight="1">
      <c r="A28" s="2"/>
      <c r="B28" s="2" t="str">
        <v>Overnight extension: 40 retrieved posts (39 new); four supplemental records OV01–OV04 remain separate from baseline counts.</v>
      </c>
      <c r="C28" s="2"/>
      <c r="D28" s="2"/>
      <c r="E28" s="2"/>
      <c r="F28" s="2"/>
      <c r="G28" s="2"/>
    </row>
    <row r="29" ht="23" customHeight="1">
      <c r="A29" s="2"/>
      <c r="B29" s="2" t="str">
        <v>The 28 core statements and 26 qualifying accounts above are unchanged. Supplemental context adds no verified city tier or Blibli firsthand account.</v>
      </c>
      <c r="C29" s="2"/>
      <c r="D29" s="2"/>
      <c r="E29" s="2"/>
      <c r="F29" s="2"/>
      <c r="G29" s="2"/>
    </row>
    <row r="30">
      <c r="A30" s="2"/>
      <c r="B30" s="2"/>
      <c r="C30" s="2"/>
      <c r="D30" s="2"/>
      <c r="E30" s="2"/>
      <c r="F30" s="2"/>
      <c r="G30" s="2"/>
    </row>
    <row r="31">
      <c r="A31" s="2"/>
      <c r="B31" s="2"/>
      <c r="C31" s="2"/>
      <c r="D31" s="2"/>
      <c r="E31" s="2"/>
      <c r="F31" s="2"/>
      <c r="G31" s="2"/>
    </row>
    <row r="32">
      <c r="A32" s="2"/>
      <c r="B32" s="2"/>
      <c r="C32" s="2"/>
      <c r="D32" s="2"/>
      <c r="E32" s="2"/>
      <c r="F32" s="2"/>
      <c r="G32" s="2"/>
    </row>
  </sheetData>
  <hyperlinks>
    <hyperlink ref="G10" display="E01, E02, E11, E22, E23, E24, E33" location="'Evidence'!A10"/>
    <hyperlink ref="G11" display="E04, E15, E16, E17, E18, E19, E20, E21" location="'Evidence'!A13"/>
    <hyperlink ref="G12" display="E03, E26, E27, E29, E30, E32" location="'Evidence'!A12"/>
    <hyperlink ref="G13" display="E08, E10" location="'Evidence'!A17"/>
    <hyperlink ref="G14" display="E39, E40, E42" location="'Evidence'!A48"/>
    <hyperlink ref="G15" display="E34, E38" location="'Evidence'!A43"/>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76EAB"/>
  </sheetPr>
  <sheetViews>
    <sheetView showGridLines="0" workbookViewId="0">
      <pane xSplit="2" ySplit="9" topLeftCell="C10" activePane="bottomRight" state="frozen"/>
    </sheetView>
  </sheetViews>
  <sheetFormatPr defaultRowHeight="15"/>
  <cols>
    <col min="1" max="1" width="6.440000057220459" hidden="0" customWidth="1"/>
    <col min="2" max="2" width="11.109999656677246" hidden="0" customWidth="1"/>
    <col min="3" max="3" width="17.780000686645508" hidden="0" customWidth="1"/>
    <col min="4" max="4" width="18.889999389648438" hidden="0" customWidth="1"/>
    <col min="5" max="5" width="8.890000343322754" hidden="0" customWidth="1"/>
    <col min="6" max="6" width="42.220001220703125" hidden="0" customWidth="1"/>
    <col min="7" max="7" width="35.560001373291016" hidden="0" customWidth="1"/>
    <col min="8" max="8" width="42.220001220703125" hidden="0" customWidth="1"/>
    <col min="9" max="9" width="12.220000267028809" hidden="0" customWidth="1"/>
    <col min="10" max="10" width="11.109999656677246" hidden="0" customWidth="1"/>
    <col min="11" max="11" width="11.109999656677246" hidden="0" customWidth="1"/>
    <col min="12" max="12" width="23.889999389648438" hidden="0" customWidth="1"/>
    <col min="13" max="13" width="27.219999313354492" hidden="0" customWidth="1"/>
    <col min="14" max="14" width="32.220001220703125" hidden="0" customWidth="1"/>
    <col min="15" max="15" width="33.33000183105469" hidden="0" customWidth="1"/>
    <col min="16" max="16" width="34.439998626708984" hidden="0" customWidth="1"/>
    <col min="17" max="17" width="20.559999465942383" hidden="0" customWidth="1"/>
    <col min="18" max="18" width="20.559999465942383" hidden="0" customWidth="1"/>
    <col min="19" max="19" width="11.109999656677246" hidden="0" customWidth="1"/>
    <col min="20" max="20" width="11.109999656677246" hidden="0" customWidth="1"/>
  </cols>
  <sheetData>
    <row r="1">
      <c r="A1" s="2"/>
      <c r="B1" s="2"/>
      <c r="C1" s="2"/>
      <c r="D1" s="2"/>
      <c r="E1" s="2"/>
      <c r="F1" s="2"/>
      <c r="G1" s="2"/>
      <c r="H1" s="2"/>
      <c r="I1" s="2"/>
      <c r="J1" s="2"/>
      <c r="K1" s="2"/>
      <c r="L1" s="2"/>
      <c r="M1" s="2"/>
      <c r="N1" s="2"/>
      <c r="O1" s="2"/>
      <c r="P1" s="2"/>
      <c r="Q1" s="2"/>
      <c r="R1" s="2"/>
      <c r="S1" s="2"/>
      <c r="T1" s="2"/>
    </row>
    <row r="2" ht="27" customHeight="1">
      <c r="A2" s="3" t="str">
        <v>Evidence ledger</v>
      </c>
      <c r="B2" s="2"/>
      <c r="C2" s="2"/>
      <c r="D2" s="2"/>
      <c r="E2" s="2"/>
      <c r="F2" s="2"/>
      <c r="G2" s="2"/>
      <c r="H2" s="2"/>
      <c r="I2" s="2"/>
      <c r="J2" s="2"/>
      <c r="K2" s="2"/>
      <c r="L2" s="2"/>
      <c r="M2" s="2"/>
      <c r="N2" s="2"/>
      <c r="O2" s="2"/>
      <c r="P2" s="2"/>
      <c r="Q2" s="2"/>
      <c r="R2" s="2"/>
      <c r="S2" s="2"/>
      <c r="T2" s="2"/>
    </row>
    <row r="3" ht="20" customHeight="1">
      <c r="A3" s="2" t="str">
        <v>46 curated records = 42 baseline + 4 supplemental. Core = 28 baseline statements supporting the six themes.</v>
      </c>
      <c r="B3" s="2"/>
      <c r="C3" s="2"/>
      <c r="D3" s="2"/>
      <c r="E3" s="2"/>
      <c r="F3" s="2"/>
      <c r="G3" s="2"/>
      <c r="H3" s="2"/>
      <c r="I3" s="2"/>
      <c r="J3" s="2"/>
      <c r="K3" s="2"/>
      <c r="L3" s="2"/>
      <c r="M3" s="2"/>
      <c r="N3" s="2"/>
      <c r="O3" s="2"/>
      <c r="P3" s="2"/>
      <c r="Q3" s="2"/>
      <c r="R3" s="2"/>
      <c r="S3" s="2"/>
      <c r="T3" s="2"/>
    </row>
    <row r="4" ht="20" customHeight="1">
      <c r="A4" s="2" t="str">
        <v>Statements and interpretations are paraphrases. Open the source and use the comment ID to locate a comment within its video.</v>
      </c>
      <c r="B4" s="2"/>
      <c r="C4" s="2"/>
      <c r="D4" s="2"/>
      <c r="E4" s="2"/>
      <c r="F4" s="2"/>
      <c r="G4" s="2"/>
      <c r="H4" s="2"/>
      <c r="I4" s="2"/>
      <c r="J4" s="2"/>
      <c r="K4" s="2"/>
      <c r="L4" s="2"/>
      <c r="M4" s="2"/>
      <c r="N4" s="2"/>
      <c r="O4" s="2"/>
      <c r="P4" s="2"/>
      <c r="Q4" s="2"/>
      <c r="R4" s="2"/>
      <c r="S4" s="2"/>
      <c r="T4" s="2"/>
    </row>
    <row r="5" ht="20" customHeight="1">
      <c r="A5" s="2" t="str">
        <v>Follower counts were observed at collection on 3 October 2026; counts and activity do not establish identity, experience or city tier.</v>
      </c>
      <c r="B5" s="2"/>
      <c r="C5" s="2"/>
      <c r="D5" s="2"/>
      <c r="E5" s="2"/>
      <c r="F5" s="2"/>
      <c r="G5" s="2"/>
      <c r="H5" s="2"/>
      <c r="I5" s="2"/>
      <c r="J5" s="2"/>
      <c r="K5" s="2"/>
      <c r="L5" s="2"/>
      <c r="M5" s="2"/>
      <c r="N5" s="2"/>
      <c r="O5" s="2"/>
      <c r="P5" s="2"/>
      <c r="Q5" s="2"/>
      <c r="R5" s="2"/>
      <c r="S5" s="2"/>
      <c r="T5" s="2"/>
    </row>
    <row r="6">
      <c r="A6" s="2"/>
      <c r="B6" s="2"/>
      <c r="C6" s="2"/>
      <c r="D6" s="2"/>
      <c r="E6" s="2"/>
      <c r="F6" s="2"/>
      <c r="G6" s="2"/>
      <c r="H6" s="2"/>
      <c r="I6" s="2"/>
      <c r="J6" s="2"/>
      <c r="K6" s="2"/>
      <c r="L6" s="2"/>
      <c r="M6" s="2"/>
      <c r="N6" s="2"/>
      <c r="O6" s="2"/>
      <c r="P6" s="2"/>
      <c r="Q6" s="2"/>
      <c r="R6" s="2"/>
      <c r="S6" s="2"/>
      <c r="T6" s="2"/>
    </row>
    <row r="7">
      <c r="A7" s="4" t="str">
        <v>A source link may become unavailable after collection. Source type and identifiers preserve the recorded provenance.</v>
      </c>
      <c r="B7" s="2"/>
      <c r="C7" s="2"/>
      <c r="D7" s="2"/>
      <c r="E7" s="2"/>
      <c r="F7" s="2"/>
      <c r="G7" s="2"/>
      <c r="H7" s="2"/>
      <c r="I7" s="2"/>
      <c r="J7" s="2"/>
      <c r="K7" s="2"/>
      <c r="L7" s="2"/>
      <c r="M7" s="2"/>
      <c r="N7" s="2"/>
      <c r="O7" s="2"/>
      <c r="P7" s="2"/>
      <c r="Q7" s="2"/>
      <c r="R7" s="2"/>
      <c r="S7" s="2"/>
      <c r="T7" s="2"/>
    </row>
    <row r="8">
      <c r="A8" s="2"/>
      <c r="B8" s="2"/>
      <c r="C8" s="2"/>
      <c r="D8" s="2"/>
      <c r="E8" s="2"/>
      <c r="F8" s="2"/>
      <c r="G8" s="2"/>
      <c r="H8" s="2"/>
      <c r="I8" s="2"/>
      <c r="J8" s="2"/>
      <c r="K8" s="2"/>
      <c r="L8" s="2"/>
      <c r="M8" s="2"/>
      <c r="N8" s="2"/>
      <c r="O8" s="2"/>
      <c r="P8" s="2"/>
      <c r="Q8" s="2"/>
      <c r="R8" s="2"/>
      <c r="S8" s="2"/>
      <c r="T8" s="2"/>
    </row>
    <row r="9" ht="32" customHeight="1">
      <c r="A9" s="10" t="str">
        <v>ID</v>
      </c>
      <c r="B9" s="10" t="str">
        <v>Use in findings</v>
      </c>
      <c r="C9" s="10" t="str">
        <v>Theme</v>
      </c>
      <c r="D9" s="10" t="str">
        <v>Account</v>
      </c>
      <c r="E9" s="10" t="str">
        <v>Followers</v>
      </c>
      <c r="F9" s="10" t="str">
        <v>Statement summary (paraphrase)</v>
      </c>
      <c r="G9" s="10" t="str">
        <v>Interpretation</v>
      </c>
      <c r="H9" s="10" t="str">
        <v>Limitation</v>
      </c>
      <c r="I9" s="10" t="str">
        <v>Published (UTC)</v>
      </c>
      <c r="J9" s="10" t="str">
        <v>Source</v>
      </c>
      <c r="K9" s="10" t="str">
        <v>Source type</v>
      </c>
      <c r="L9" s="10" t="str">
        <v>Evidence type</v>
      </c>
      <c r="M9" s="10" t="str">
        <v>Affiliate program</v>
      </c>
      <c r="N9" s="10" t="str">
        <v>Category basis</v>
      </c>
      <c r="O9" s="10" t="str">
        <v>Geography basis</v>
      </c>
      <c r="P9" s="10" t="str">
        <v>Qualification</v>
      </c>
      <c r="Q9" s="10" t="str">
        <v>Comment / post ID</v>
      </c>
      <c r="R9" s="10" t="str">
        <v>Discussion cluster</v>
      </c>
      <c r="S9" s="10" t="str">
        <v>Profile</v>
      </c>
      <c r="T9" s="10" t="str">
        <v>Contrary evidence</v>
      </c>
    </row>
    <row r="10" ht="67.19999694824219" customHeight="1">
      <c r="A10" s="12" t="str">
        <v>E01</v>
      </c>
      <c r="B10" s="12" t="str">
        <v>Core</v>
      </c>
      <c r="C10" s="12" t="str">
        <v>Earnings clarity</v>
      </c>
      <c r="D10" s="12" t="str">
        <v>sweetfairyy_7</v>
      </c>
      <c r="E10" s="14" t="n">
        <v>3538</v>
      </c>
      <c r="F10" s="12" t="str">
        <v>Reports first sale after three days, then no commission.</v>
      </c>
      <c r="G10" s="12" t="str">
        <v>Understand which sales produce commission and receive a visible, credible first earning.</v>
      </c>
      <c r="H10" s="12" t="str">
        <v>A sale and commission may have different eligibility or settlement timing; cannot label withheld earnings or a defect.</v>
      </c>
      <c r="I10" s="23" t="n">
        <v>46297.172326388885</v>
      </c>
      <c r="J10" s="20" t="str">
        <v>Open source</v>
      </c>
      <c r="K10" s="12" t="str">
        <v>Caption</v>
      </c>
      <c r="L10" s="12" t="str">
        <v>firsthand_negative</v>
      </c>
      <c r="M10" s="12" t="str">
        <v>TikTok indicated by hashtag</v>
      </c>
      <c r="N10" s="12" t="str">
        <v>Beauty / personal care (explicit bio)</v>
      </c>
      <c r="O10" s="12" t="str">
        <v>Indonesian-language discussion; residence and city tier unverified</v>
      </c>
      <c r="P10" s="12" t="str">
        <v>Current account size and public creator activity observed</v>
      </c>
      <c r="Q10" s="24" t="inlineStr">
        <is>
          <t>7691917414488902932</t>
        </is>
      </c>
      <c r="R10" s="24" t="inlineStr">
        <is>
          <t>7691917414488902932</t>
        </is>
      </c>
      <c r="S10" s="20" t="str">
        <v>Open profile</v>
      </c>
      <c r="T10" s="12" t="str">
        <v>No</v>
      </c>
    </row>
    <row r="11" ht="67.19999694824219" customHeight="1">
      <c r="A11" s="12" t="str">
        <v>E02</v>
      </c>
      <c r="B11" s="12" t="str">
        <v>Core</v>
      </c>
      <c r="C11" s="12" t="str">
        <v>Earnings clarity</v>
      </c>
      <c r="D11" s="12" t="str">
        <v>yuliaries25</v>
      </c>
      <c r="E11" s="14" t="n">
        <v>9257</v>
      </c>
      <c r="F11" s="12" t="str">
        <v>Expresses sadness that commission is not arriving despite daily sales; mentions 2rb-5rb.</v>
      </c>
      <c r="G11" s="12" t="str">
        <v>Predictable earnings recognition and a clear explanation of missing or pending commission.</v>
      </c>
      <c r="H11" s="12" t="str">
        <v>Amount referent is ambiguous; do not claim it is order value, exact commission per sale, or stolen/withheld money.</v>
      </c>
      <c r="I11" s="23" t="n">
        <v>46297.27762731481</v>
      </c>
      <c r="J11" s="20" t="str">
        <v>Open source</v>
      </c>
      <c r="K11" s="12" t="str">
        <v>Caption</v>
      </c>
      <c r="L11" s="12" t="str">
        <v>firsthand_negative</v>
      </c>
      <c r="M11" s="12" t="str">
        <v>TikTok indicated by hashtag</v>
      </c>
      <c r="N11" s="12" t="str">
        <v>Unknown</v>
      </c>
      <c r="O11" s="12" t="str">
        <v>Indonesian-language discussion; residence and city tier unverified</v>
      </c>
      <c r="P11" s="12" t="str">
        <v>Current account size and public creator activity observed</v>
      </c>
      <c r="Q11" s="24" t="inlineStr">
        <is>
          <t>7691956494182583573</t>
        </is>
      </c>
      <c r="R11" s="24" t="inlineStr">
        <is>
          <t>7691956494182583573</t>
        </is>
      </c>
      <c r="S11" s="20" t="str">
        <v>Open profile</v>
      </c>
      <c r="T11" s="12" t="str">
        <v>No</v>
      </c>
    </row>
    <row r="12" ht="67.19999694824219" customHeight="1">
      <c r="A12" s="12" t="str">
        <v>E03</v>
      </c>
      <c r="B12" s="12" t="str">
        <v>Core</v>
      </c>
      <c r="C12" s="12" t="str">
        <v>Stable compensation</v>
      </c>
      <c r="D12" s="12" t="str">
        <v>maulydaratih</v>
      </c>
      <c r="E12" s="14" t="n">
        <v>3201</v>
      </c>
      <c r="F12" s="12" t="str">
        <v>Says at least keep commission steady if giving no rewards, particularly in a barter context.</v>
      </c>
      <c r="G12" s="12" t="str">
        <v>Stable compensation terms and clarity about what barter entails.</v>
      </c>
      <c r="H12" s="12" t="str">
        <v>Caption does not specify original/revised commission rates, a contract, unilateral change, or actual lost earnings. It is a directly stated preference, not a documented payment incident.</v>
      </c>
      <c r="I12" s="23" t="n">
        <v>46291.1509375</v>
      </c>
      <c r="J12" s="20" t="str">
        <v>Open source</v>
      </c>
      <c r="K12" s="12" t="str">
        <v>Caption</v>
      </c>
      <c r="L12" s="12" t="str">
        <v>explicit_desired_term</v>
      </c>
      <c r="M12" s="12" t="str">
        <v>TikTok indicated by hashtags</v>
      </c>
      <c r="N12" s="12" t="str">
        <v>Fashion or mixed fashion (explicit bio)</v>
      </c>
      <c r="O12" s="12" t="str">
        <v>Indonesian-language discussion; residence and city tier unverified</v>
      </c>
      <c r="P12" s="12" t="str">
        <v>Current account size and public creator activity observed</v>
      </c>
      <c r="Q12" s="24" t="inlineStr">
        <is>
          <t>7689682966905228564</t>
        </is>
      </c>
      <c r="R12" s="24" t="inlineStr">
        <is>
          <t>7689682966905228564</t>
        </is>
      </c>
      <c r="S12" s="12"/>
      <c r="T12" s="12" t="str">
        <v>No</v>
      </c>
    </row>
    <row r="13" ht="67.19999694824219" customHeight="1">
      <c r="A13" s="12" t="str">
        <v>E04</v>
      </c>
      <c r="B13" s="12" t="str">
        <v>Core</v>
      </c>
      <c r="C13" s="12" t="str">
        <v>Product access</v>
      </c>
      <c r="D13" s="12" t="str">
        <v>hdaanl26</v>
      </c>
      <c r="E13" s="14" t="n">
        <v>1255</v>
      </c>
      <c r="F13" s="12" t="str">
        <v>Expresses pride moving from rejection to brand approval, thanks the seller, and hopes to remain motivated to create.</v>
      </c>
      <c r="G13" s="12" t="str">
        <v>Attainable product access and brand recognition may encourage continuing content creation.</v>
      </c>
      <c r="H13" s="12" t="str">
        <v>Free-sample context comes from hashtags. Future motivation is a stated hope; actual retention or content production is unobserved.</v>
      </c>
      <c r="I13" s="23" t="n">
        <v>46279.42395833333</v>
      </c>
      <c r="J13" s="20" t="str">
        <v>Open source</v>
      </c>
      <c r="K13" s="12" t="str">
        <v>Caption</v>
      </c>
      <c r="L13" s="12" t="str">
        <v>firsthand_positive</v>
      </c>
      <c r="M13" s="12" t="str">
        <v>TikTok indicated by hashtags</v>
      </c>
      <c r="N13" s="12" t="str">
        <v>Beauty / personal care (explicit bio)</v>
      </c>
      <c r="O13" s="12" t="str">
        <v>Indonesian-language discussion; residence and city tier unverified</v>
      </c>
      <c r="P13" s="12" t="str">
        <v>Current account size and public creator activity observed</v>
      </c>
      <c r="Q13" s="24" t="inlineStr">
        <is>
          <t>7685331261358869768</t>
        </is>
      </c>
      <c r="R13" s="24" t="inlineStr">
        <is>
          <t>7685331261358869768</t>
        </is>
      </c>
      <c r="S13" s="20" t="str">
        <v>Open profile</v>
      </c>
      <c r="T13" s="12" t="str">
        <v>No</v>
      </c>
    </row>
    <row r="14" ht="67.19999694824219" customHeight="1">
      <c r="A14" s="12" t="str">
        <v>E05</v>
      </c>
      <c r="B14" s="12" t="str">
        <v>Supporting</v>
      </c>
      <c r="C14" s="12" t="str">
        <v>Early proof</v>
      </c>
      <c r="D14" s="12" t="str">
        <v>susiami96</v>
      </c>
      <c r="E14" s="14" t="n">
        <v>2163</v>
      </c>
      <c r="F14" s="12" t="str">
        <v>Expresses gratitude for this amount in a commission-related post.</v>
      </c>
      <c r="G14" s="12" t="str">
        <v>Small earnings may feel rewarding.</v>
      </c>
      <c r="H14" s="12" t="str">
        <v>Amount and event are not present in caption; cannot claim first commission, payout received, or a precise earnings level.</v>
      </c>
      <c r="I14" s="23" t="n">
        <v>46297.16019675926</v>
      </c>
      <c r="J14" s="20" t="str">
        <v>Open source</v>
      </c>
      <c r="K14" s="12" t="str">
        <v>Caption</v>
      </c>
      <c r="L14" s="12" t="str">
        <v>positive_incomplete_context</v>
      </c>
      <c r="M14" s="12" t="str">
        <v>TikTok indicated by hashtag</v>
      </c>
      <c r="N14" s="12" t="str">
        <v>Unknown</v>
      </c>
      <c r="O14" s="12" t="str">
        <v>Indonesian-language discussion; residence and city tier unverified</v>
      </c>
      <c r="P14" s="12" t="str">
        <v>Current account size and public creator activity observed</v>
      </c>
      <c r="Q14" s="24" t="inlineStr">
        <is>
          <t>7691912916735364372</t>
        </is>
      </c>
      <c r="R14" s="24" t="inlineStr">
        <is>
          <t>7691912916735364372</t>
        </is>
      </c>
      <c r="S14" s="20" t="str">
        <v>Open profile</v>
      </c>
      <c r="T14" s="12" t="str">
        <v>No</v>
      </c>
    </row>
    <row r="15" ht="67.19999694824219" customHeight="1">
      <c r="A15" s="12" t="str">
        <v>E06</v>
      </c>
      <c r="B15" s="12" t="str">
        <v>Supporting</v>
      </c>
      <c r="C15" s="12" t="str">
        <v>Early proof</v>
      </c>
      <c r="D15" s="12" t="str">
        <v>ibunya_maul</v>
      </c>
      <c r="E15" s="14" t="n">
        <v>1611</v>
      </c>
      <c r="F15" s="12" t="str">
        <v>Expresses gratitude and hopes eventually to withdraw two digits.</v>
      </c>
      <c r="G15" s="12" t="str">
        <v>Aspiration for larger realized earnings.</v>
      </c>
      <c r="H15" s="12" t="str">
        <v>Do not decode two digits into a specific rupiah amount or assert a first/current withdrawal was received.</v>
      </c>
      <c r="I15" s="23" t="n">
        <v>46297.20909722222</v>
      </c>
      <c r="J15" s="20" t="str">
        <v>Open source</v>
      </c>
      <c r="K15" s="12" t="str">
        <v>Caption</v>
      </c>
      <c r="L15" s="12" t="str">
        <v>explicit_aspiration</v>
      </c>
      <c r="M15" s="12" t="str">
        <v>TikTok indicated by commission-withdrawal hashtags</v>
      </c>
      <c r="N15" s="12" t="str">
        <v>Unknown</v>
      </c>
      <c r="O15" s="12" t="str">
        <v>Indonesian-language discussion; residence and city tier unverified</v>
      </c>
      <c r="P15" s="12" t="str">
        <v>Current account size and public creator activity observed</v>
      </c>
      <c r="Q15" s="24" t="inlineStr">
        <is>
          <t>7691931055313521928</t>
        </is>
      </c>
      <c r="R15" s="24" t="inlineStr">
        <is>
          <t>7691931055313521928</t>
        </is>
      </c>
      <c r="S15" s="20" t="str">
        <v>Open profile</v>
      </c>
      <c r="T15" s="12" t="str">
        <v>No</v>
      </c>
    </row>
    <row r="16" ht="67.19999694824219" customHeight="1">
      <c r="A16" s="12" t="str">
        <v>E07</v>
      </c>
      <c r="B16" s="12" t="str">
        <v>Supporting</v>
      </c>
      <c r="C16" s="12" t="str">
        <v>Early proof</v>
      </c>
      <c r="D16" s="12" t="str">
        <v>tunnisafarha</v>
      </c>
      <c r="E16" s="14" t="n">
        <v>1016</v>
      </c>
      <c r="F16" s="12" t="str">
        <v>Attributes commission to link sharing.</v>
      </c>
      <c r="G16" s="12" t="str">
        <v>A simple link-sharing route may offer an accessible earning path.</v>
      </c>
      <c r="H16" s="12" t="str">
        <v>No amount, settlement proof, platform, or explicit preference against video creation.</v>
      </c>
      <c r="I16" s="23" t="n">
        <v>46295.0128587963</v>
      </c>
      <c r="J16" s="20" t="str">
        <v>Open source</v>
      </c>
      <c r="K16" s="12" t="str">
        <v>Caption</v>
      </c>
      <c r="L16" s="12" t="str">
        <v>terse_positive_outcome</v>
      </c>
      <c r="M16" s="12" t="str">
        <v>Affiliate program unspecified</v>
      </c>
      <c r="N16" s="12" t="str">
        <v>Fashion or mixed fashion (explicit bio)</v>
      </c>
      <c r="O16" s="12" t="str">
        <v>Indonesian-language discussion; residence and city tier unverified</v>
      </c>
      <c r="P16" s="12" t="str">
        <v>Current account size and public creator activity observed</v>
      </c>
      <c r="Q16" s="24" t="inlineStr">
        <is>
          <t>7691116062296804609</t>
        </is>
      </c>
      <c r="R16" s="24" t="inlineStr">
        <is>
          <t>7691116062296804609</t>
        </is>
      </c>
      <c r="S16" s="20" t="str">
        <v>Open profile</v>
      </c>
      <c r="T16" s="12" t="str">
        <v>No</v>
      </c>
    </row>
    <row r="17" ht="67.19999694824219" customHeight="1">
      <c r="A17" s="12" t="str">
        <v>E08</v>
      </c>
      <c r="B17" s="12" t="str">
        <v>Core</v>
      </c>
      <c r="C17" s="12" t="str">
        <v>Early proof</v>
      </c>
      <c r="D17" s="12" t="str">
        <v>lapakimutku</v>
      </c>
      <c r="E17" s="14" t="n">
        <v>891</v>
      </c>
      <c r="F17" s="12" t="str">
        <v>Says this is the first commission; a small amount is fine because it demonstrates the account can generate earnings.</v>
      </c>
      <c r="G17" s="12" t="str">
        <v>Early proof of earning ability, not just a large headline payout.</v>
      </c>
      <c r="H17" s="12" t="str">
        <v>Current followers 891; use as early-stage evidence, a separate under-1,000 group. One person does not establish average motivation.</v>
      </c>
      <c r="I17" s="23" t="n">
        <v>46291.58755787037</v>
      </c>
      <c r="J17" s="20" t="str">
        <v>Open source</v>
      </c>
      <c r="K17" s="12" t="str">
        <v>Caption</v>
      </c>
      <c r="L17" s="12" t="str">
        <v>firsthand_positive_and_explicit_value</v>
      </c>
      <c r="M17" s="12" t="str">
        <v>TikTok indicated by hashtag</v>
      </c>
      <c r="N17" s="12" t="str">
        <v>Unknown</v>
      </c>
      <c r="O17" s="12" t="str">
        <v>Indonesian-language discussion; residence and city tier unverified</v>
      </c>
      <c r="P17" s="12" t="str">
        <v>Current account size and public creator activity observed</v>
      </c>
      <c r="Q17" s="24" t="inlineStr">
        <is>
          <t>7689844994273758485</t>
        </is>
      </c>
      <c r="R17" s="24" t="inlineStr">
        <is>
          <t>7689844994273758485</t>
        </is>
      </c>
      <c r="S17" s="20" t="str">
        <v>Open profile</v>
      </c>
      <c r="T17" s="12" t="str">
        <v>No</v>
      </c>
    </row>
    <row r="18" ht="67.19999694824219" customHeight="1">
      <c r="A18" s="12" t="str">
        <v>E09</v>
      </c>
      <c r="B18" s="12" t="str">
        <v>Supporting</v>
      </c>
      <c r="C18" s="12" t="str">
        <v>Early proof</v>
      </c>
      <c r="D18" s="12" t="str">
        <v>putri_putch</v>
      </c>
      <c r="E18" s="14" t="n">
        <v>762</v>
      </c>
      <c r="F18" s="12" t="str">
        <v>Reports four days with no first sale yet.</v>
      </c>
      <c r="G18" s="12" t="str">
        <v>A reachable first-success path and realistic expectations.</v>
      </c>
      <c r="H18" s="12" t="str">
        <v>Four days is this account observation, not a general time-to-first-sale benchmark; cause unknown. Comments retrieval later returned unavailable/private; discovery snapshot retained as supporting only.</v>
      </c>
      <c r="I18" s="23" t="n">
        <v>46293.203125</v>
      </c>
      <c r="J18" s="20" t="str">
        <v>Open source</v>
      </c>
      <c r="K18" s="12" t="str">
        <v>Caption</v>
      </c>
      <c r="L18" s="12" t="str">
        <v>firsthand_negative</v>
      </c>
      <c r="M18" s="12" t="str">
        <v>Affiliate platform unspecified</v>
      </c>
      <c r="N18" s="12" t="str">
        <v>Beauty / personal care (explicit bio)</v>
      </c>
      <c r="O18" s="12" t="str">
        <v>Indonesian-language discussion; residence and city tier unverified</v>
      </c>
      <c r="P18" s="12" t="str">
        <v>Current account size and public creator activity observed</v>
      </c>
      <c r="Q18" s="24" t="inlineStr">
        <is>
          <t>7690444496995192085</t>
        </is>
      </c>
      <c r="R18" s="24" t="inlineStr">
        <is>
          <t>7690444496995192085</t>
        </is>
      </c>
      <c r="S18" s="20" t="str">
        <v>Open profile</v>
      </c>
      <c r="T18" s="12" t="str">
        <v>No</v>
      </c>
    </row>
    <row r="19" ht="67.19999694824219" customHeight="1">
      <c r="A19" s="12" t="str">
        <v>E10</v>
      </c>
      <c r="B19" s="12" t="str">
        <v>Core</v>
      </c>
      <c r="C19" s="12" t="str">
        <v>Early proof</v>
      </c>
      <c r="D19" s="12" t="str">
        <v>shoppingbeb6</v>
      </c>
      <c r="E19" s="14" t="n">
        <v>963</v>
      </c>
      <c r="F19" s="12" t="str">
        <v>Reports no first sale today and asks for encouragement.</v>
      </c>
      <c r="G19" s="12" t="str">
        <v>Emotional support while outcomes remain uncertain.</v>
      </c>
      <c r="H19" s="12" t="str">
        <v>Only 963 current followers; single day statement does not prove never sold or intention to quit.</v>
      </c>
      <c r="I19" s="23" t="n">
        <v>46291.58255787037</v>
      </c>
      <c r="J19" s="20" t="str">
        <v>Open source</v>
      </c>
      <c r="K19" s="12" t="str">
        <v>Caption</v>
      </c>
      <c r="L19" s="12" t="str">
        <v>firsthand_negative_and_encouragement_request</v>
      </c>
      <c r="M19" s="12" t="str">
        <v>Affiliate platform unspecified</v>
      </c>
      <c r="N19" s="12" t="str">
        <v>Unknown</v>
      </c>
      <c r="O19" s="12" t="str">
        <v>Indonesian-language discussion; residence and city tier unverified</v>
      </c>
      <c r="P19" s="12" t="str">
        <v>Current account size and public creator activity observed</v>
      </c>
      <c r="Q19" s="24" t="inlineStr">
        <is>
          <t>7689843139418279175</t>
        </is>
      </c>
      <c r="R19" s="24" t="inlineStr">
        <is>
          <t>7689843139418279175</t>
        </is>
      </c>
      <c r="S19" s="20" t="str">
        <v>Open profile</v>
      </c>
      <c r="T19" s="12" t="str">
        <v>No</v>
      </c>
    </row>
    <row r="20" ht="67.19999694824219" customHeight="1">
      <c r="A20" s="12" t="str">
        <v>E11</v>
      </c>
      <c r="B20" s="12" t="str">
        <v>Core</v>
      </c>
      <c r="C20" s="12" t="str">
        <v>Earnings clarity</v>
      </c>
      <c r="D20" s="12" t="str">
        <v>lailatulfatichah</v>
      </c>
      <c r="E20" s="14" t="n">
        <v>953</v>
      </c>
      <c r="F20" s="12" t="str">
        <v>Describes hard content work, a purchase without commission arriving, and urgently needing the money.</v>
      </c>
      <c r="G20" s="12" t="str">
        <v>Effort-to-earnings predictability and useful support when expected commission is absent.</v>
      </c>
      <c r="H20" s="12" t="str">
        <v>953 current followers; no verified cause, eligibility, settlement time, or amount.</v>
      </c>
      <c r="I20" s="23" t="n">
        <v>46295.57579861111</v>
      </c>
      <c r="J20" s="20" t="str">
        <v>Open source</v>
      </c>
      <c r="K20" s="12" t="str">
        <v>Caption</v>
      </c>
      <c r="L20" s="12" t="str">
        <v>firsthand_negative</v>
      </c>
      <c r="M20" s="12" t="str">
        <v>Affiliate platform unspecified</v>
      </c>
      <c r="N20" s="12" t="str">
        <v>Beauty / personal care (explicit bio)</v>
      </c>
      <c r="O20" s="12" t="str">
        <v>Indonesian-language discussion; residence and city tier unverified</v>
      </c>
      <c r="P20" s="12" t="str">
        <v>Current account size and public creator activity observed</v>
      </c>
      <c r="Q20" s="24" t="inlineStr">
        <is>
          <t>7691324968663125255</t>
        </is>
      </c>
      <c r="R20" s="24" t="inlineStr">
        <is>
          <t>7691324968663125255</t>
        </is>
      </c>
      <c r="S20" s="20" t="str">
        <v>Open profile</v>
      </c>
      <c r="T20" s="12" t="str">
        <v>No</v>
      </c>
    </row>
    <row r="21" ht="67.19999694824219" customHeight="1">
      <c r="A21" s="12" t="str">
        <v>E12</v>
      </c>
      <c r="B21" s="12" t="str">
        <v>Supporting</v>
      </c>
      <c r="C21" s="12" t="str">
        <v>Early proof</v>
      </c>
      <c r="D21" s="12" t="str">
        <v>acoh845</v>
      </c>
      <c r="E21" s="14" t="n">
        <v>671</v>
      </c>
      <c r="F21" s="12" t="str">
        <v>Reports one product sold and Rp280 estimated commission traced to an earlier Facebook affiliate-link share, without a product video or showcase addition.</v>
      </c>
      <c r="G21" s="12" t="str">
        <v>Low-production earning routes and intelligible attribution may help early activation.</v>
      </c>
      <c r="H21" s="12" t="str">
        <v>Marked sponsored=true; commission is estimated, not a received payout; broader claims about attribution or passive earning unsupported.</v>
      </c>
      <c r="I21" s="23" t="n">
        <v>46294.47605324074</v>
      </c>
      <c r="J21" s="20" t="str">
        <v>Open source</v>
      </c>
      <c r="K21" s="12" t="str">
        <v>Caption</v>
      </c>
      <c r="L21" s="12" t="str">
        <v>firsthand_positive</v>
      </c>
      <c r="M21" s="12" t="str">
        <v>TikTok indicated by hashtag</v>
      </c>
      <c r="N21" s="12" t="str">
        <v>Unknown</v>
      </c>
      <c r="O21" s="12" t="str">
        <v>Indonesian-language discussion; residence and city tier unverified</v>
      </c>
      <c r="P21" s="12" t="str">
        <v>Platform marked sponsored; supporting evidence only</v>
      </c>
      <c r="Q21" s="24" t="inlineStr">
        <is>
          <t>7690916875881958677</t>
        </is>
      </c>
      <c r="R21" s="24" t="inlineStr">
        <is>
          <t>7690916875881958677</t>
        </is>
      </c>
      <c r="S21" s="20" t="str">
        <v>Open profile</v>
      </c>
      <c r="T21" s="12" t="str">
        <v>No</v>
      </c>
    </row>
    <row r="22" ht="67.19999694824219" customHeight="1">
      <c r="A22" s="12" t="str">
        <v>E13</v>
      </c>
      <c r="B22" s="12" t="str">
        <v>Supporting</v>
      </c>
      <c r="C22" s="12" t="str">
        <v>Product access</v>
      </c>
      <c r="D22" s="12" t="str">
        <v>fatoumataofficial_</v>
      </c>
      <c r="E22" s="14" t="n">
        <v>8818</v>
      </c>
      <c r="F22" s="12" t="str">
        <v>Reports sellers inviting a sample request and subsequently declining it; asks that sellers not invite requests they do not intend to honor.</v>
      </c>
      <c r="G22" s="12" t="str">
        <v>Consistent sample invitations and transparent screening.</v>
      </c>
      <c r="H22" s="12" t="str">
        <v>US creation metadata and English context; cannot establish Indonesia prevalence or translate into guaranteed free samples.</v>
      </c>
      <c r="I22" s="23" t="n">
        <v>46290.761782407404</v>
      </c>
      <c r="J22" s="20" t="str">
        <v>Open source</v>
      </c>
      <c r="K22" s="12" t="str">
        <v>Caption</v>
      </c>
      <c r="L22" s="12" t="str">
        <v>firsthand_negative_and_explicit_preference</v>
      </c>
      <c r="M22" s="12" t="str">
        <v>TikTok Shop explicitly named</v>
      </c>
      <c r="N22" s="12" t="str">
        <v>Unknown</v>
      </c>
      <c r="O22" s="12" t="str">
        <v>English-language discussion; US creation metadata; residence unverified</v>
      </c>
      <c r="P22" s="12" t="str">
        <v>Outside Indonesian-context main sample</v>
      </c>
      <c r="Q22" s="24" t="inlineStr">
        <is>
          <t>7689538487082667295</t>
        </is>
      </c>
      <c r="R22" s="24" t="inlineStr">
        <is>
          <t>7689538487082667295</t>
        </is>
      </c>
      <c r="S22" s="20" t="str">
        <v>Open profile</v>
      </c>
      <c r="T22" s="12" t="str">
        <v>No</v>
      </c>
    </row>
    <row r="23" ht="67.19999694824219" customHeight="1">
      <c r="A23" s="12" t="str">
        <v>E14</v>
      </c>
      <c r="B23" s="12" t="str">
        <v>Supporting</v>
      </c>
      <c r="C23" s="12" t="str">
        <v>Reference only</v>
      </c>
      <c r="D23" s="12" t="str">
        <v>tarialrasyid</v>
      </c>
      <c r="E23" s="14" t="n">
        <v>13500</v>
      </c>
      <c r="F23" s="12" t="str">
        <v>Promotes Tiket Affiliate registration, no minimum followers, and a new-member bonus ending July 31, 2026.</v>
      </c>
      <c r="G23" s="12" t="str">
        <v>No firsthand creator need established.</v>
      </c>
      <c r="H23" s="12" t="str">
        <v>13,500 current followers; promotional caption despite sponsored=false. Tiket.com is not interchangeable with Blibli Affiliate; expired campaign claims are not current terms.</v>
      </c>
      <c r="I23" s="23" t="n">
        <v>46219.12533564815</v>
      </c>
      <c r="J23" s="20" t="str">
        <v>Open source</v>
      </c>
      <c r="K23" s="12" t="str">
        <v>Caption</v>
      </c>
      <c r="L23" s="12" t="str">
        <v>promotional_claim</v>
      </c>
      <c r="M23" s="12" t="str">
        <v>tiket.com Tiket Affiliate explicitly named</v>
      </c>
      <c r="N23" s="12" t="str">
        <v>Unknown</v>
      </c>
      <c r="O23" s="12" t="str">
        <v>Indonesian-language discussion; residence and city tier unverified</v>
      </c>
      <c r="P23" s="12" t="str">
        <v>Outside the selected follower range</v>
      </c>
      <c r="Q23" s="24" t="inlineStr">
        <is>
          <t>7662955302513331477</t>
        </is>
      </c>
      <c r="R23" s="24" t="inlineStr">
        <is>
          <t>7662955302513331477</t>
        </is>
      </c>
      <c r="S23" s="20" t="str">
        <v>Open profile</v>
      </c>
      <c r="T23" s="12" t="str">
        <v>No</v>
      </c>
    </row>
    <row r="24" ht="67.19999694824219" customHeight="1">
      <c r="A24" s="12" t="str">
        <v>E15</v>
      </c>
      <c r="B24" s="12" t="str">
        <v>Core</v>
      </c>
      <c r="C24" s="12" t="str">
        <v>Product access</v>
      </c>
      <c r="D24" s="12" t="str">
        <v>siva_794</v>
      </c>
      <c r="E24" s="14" t="n">
        <v>1257</v>
      </c>
      <c r="F24" s="12" t="str">
        <v>Reports being rejected for both expensive and inexpensive samples.</v>
      </c>
      <c r="G24" s="12" t="str">
        <v>A clearer, attainable path to product access and useful rejection explanations.</v>
      </c>
      <c r="H24" s="12" t="str">
        <v>One thread; sample application count, reasons, product category, and eligibility unknown. Does not prove entitlement or unfair treatment.</v>
      </c>
      <c r="I24" s="23" t="n">
        <v>46286.13170138889</v>
      </c>
      <c r="J24" s="20" t="str">
        <v>Open source</v>
      </c>
      <c r="K24" s="12" t="str">
        <v>Comment</v>
      </c>
      <c r="L24" s="12" t="str">
        <v>firsthand_sample_rejection</v>
      </c>
      <c r="M24" s="12" t="str">
        <v>Parent author explicitly identifies as TikTok Shop Affiliate; commenter program not independently verified</v>
      </c>
      <c r="N24" s="12" t="str">
        <v>Beauty / personal care (one observed post only)</v>
      </c>
      <c r="O24" s="12" t="str">
        <v>Indonesian-language discussion; residence and city tier unverified</v>
      </c>
      <c r="P24" s="12" t="str">
        <v>Current account size and public creator activity observed</v>
      </c>
      <c r="Q24" s="24" t="inlineStr">
        <is>
          <t>7687820316022506241</t>
        </is>
      </c>
      <c r="R24" s="24" t="inlineStr">
        <is>
          <t>7687624645742742804</t>
        </is>
      </c>
      <c r="S24" s="20" t="str">
        <v>Open profile</v>
      </c>
      <c r="T24" s="12" t="str">
        <v>No</v>
      </c>
    </row>
    <row r="25" ht="67.19999694824219" customHeight="1">
      <c r="A25" s="12" t="str">
        <v>E16</v>
      </c>
      <c r="B25" s="12" t="str">
        <v>Core</v>
      </c>
      <c r="C25" s="12" t="str">
        <v>Product access</v>
      </c>
      <c r="D25" s="12" t="str">
        <v>wiana073</v>
      </c>
      <c r="E25" s="14" t="n">
        <v>943</v>
      </c>
      <c r="F25" s="12" t="str">
        <v>Reports inexpensive sample requests rejected but expensive samples approved immediately.</v>
      </c>
      <c r="G25" s="12" t="str">
        <v>Understand brand-specific selection or matching rather than assuming cheaper products guarantee access.</v>
      </c>
      <c r="H25" s="12" t="str">
        <v>Disconfirms a simple price-based barrier. Cannot prove random decisions or establish category differences.</v>
      </c>
      <c r="I25" s="23" t="n">
        <v>46286.27005787037</v>
      </c>
      <c r="J25" s="20" t="str">
        <v>Open source</v>
      </c>
      <c r="K25" s="12" t="str">
        <v>Comment</v>
      </c>
      <c r="L25" s="12" t="str">
        <v>firsthand_mixed_outcome_disconfirming</v>
      </c>
      <c r="M25" s="12" t="str">
        <v>Parent author explicitly identifies as TikTok Shop Affiliate; commenter program not independently verified</v>
      </c>
      <c r="N25" s="12" t="str">
        <v>Unknown</v>
      </c>
      <c r="O25" s="12" t="str">
        <v>Indonesian-language discussion; residence and city tier unverified</v>
      </c>
      <c r="P25" s="12" t="str">
        <v>Current account size and public creator activity observed</v>
      </c>
      <c r="Q25" s="24" t="inlineStr">
        <is>
          <t>7687871654311363329</t>
        </is>
      </c>
      <c r="R25" s="24" t="inlineStr">
        <is>
          <t>7687624645742742804</t>
        </is>
      </c>
      <c r="S25" s="20" t="str">
        <v>Open profile</v>
      </c>
      <c r="T25" s="12" t="str">
        <v>Yes</v>
      </c>
    </row>
    <row r="26" ht="67.19999694824219" customHeight="1">
      <c r="A26" s="12" t="str">
        <v>E17</v>
      </c>
      <c r="B26" s="12" t="str">
        <v>Core</v>
      </c>
      <c r="C26" s="12" t="str">
        <v>Product access</v>
      </c>
      <c r="D26" s="12" t="str">
        <v>echaaaa767</v>
      </c>
      <c r="E26" s="14" t="n">
        <v>1088</v>
      </c>
      <c r="F26" s="12" t="str">
        <v>Reports repeated sample application failures followed by a brand initiating a barter invitation.</v>
      </c>
      <c r="G26" s="12" t="str">
        <v>Discover viable partnership routes and matching opportunities.</v>
      </c>
      <c r="H26" s="12" t="str">
        <v>A barter invitation is not a completed collaboration or guaranteed free sample; platform and brand terms unspecified.</v>
      </c>
      <c r="I26" s="23" t="n">
        <v>46286.454988425925</v>
      </c>
      <c r="J26" s="20" t="str">
        <v>Open source</v>
      </c>
      <c r="K26" s="12" t="str">
        <v>Comment</v>
      </c>
      <c r="L26" s="12" t="str">
        <v>firsthand_mixed_outcome_disconfirming</v>
      </c>
      <c r="M26" s="12" t="str">
        <v>Parent author explicitly identifies as TikTok Shop Affiliate; commenter program not independently verified</v>
      </c>
      <c r="N26" s="12" t="str">
        <v>Beauty / personal care (one observed post only)</v>
      </c>
      <c r="O26" s="12" t="str">
        <v>Indonesian-language discussion; residence and city tier unverified</v>
      </c>
      <c r="P26" s="12" t="str">
        <v>Current account size and public creator activity observed</v>
      </c>
      <c r="Q26" s="24" t="inlineStr">
        <is>
          <t>7687940310652338964</t>
        </is>
      </c>
      <c r="R26" s="24" t="inlineStr">
        <is>
          <t>7687624645742742804</t>
        </is>
      </c>
      <c r="S26" s="20" t="str">
        <v>Open profile</v>
      </c>
      <c r="T26" s="12" t="str">
        <v>Yes</v>
      </c>
    </row>
    <row r="27" ht="67.19999694824219" customHeight="1">
      <c r="A27" s="12" t="str">
        <v>E18</v>
      </c>
      <c r="B27" s="12" t="str">
        <v>Core</v>
      </c>
      <c r="C27" s="12" t="str">
        <v>Product access</v>
      </c>
      <c r="D27" s="12" t="str">
        <v>.taa125</v>
      </c>
      <c r="E27" s="14" t="n">
        <v>222</v>
      </c>
      <c r="F27" s="12" t="str">
        <v>Reports sample rejection regardless of high or low price.</v>
      </c>
      <c r="G27" s="12" t="str">
        <v>Transparent eligibility and a practical next step after rejection.</v>
      </c>
      <c r="H27" s="12" t="str">
        <v>One of several commenters in the same seed thread; not independent source replication.</v>
      </c>
      <c r="I27" s="23" t="n">
        <v>46288.11347222222</v>
      </c>
      <c r="J27" s="20" t="str">
        <v>Open source</v>
      </c>
      <c r="K27" s="12" t="str">
        <v>Comment</v>
      </c>
      <c r="L27" s="12" t="str">
        <v>firsthand_sample_rejection</v>
      </c>
      <c r="M27" s="12" t="str">
        <v>Parent author explicitly identifies as TikTok Shop Affiliate; commenter program not independently verified</v>
      </c>
      <c r="N27" s="12" t="str">
        <v>Unknown</v>
      </c>
      <c r="O27" s="12" t="str">
        <v>Indonesian-language discussion; residence and city tier unverified</v>
      </c>
      <c r="P27" s="12" t="str">
        <v>Current account size and public creator activity observed</v>
      </c>
      <c r="Q27" s="24" t="inlineStr">
        <is>
          <t>7688555780404151047</t>
        </is>
      </c>
      <c r="R27" s="24" t="inlineStr">
        <is>
          <t>7687624645742742804</t>
        </is>
      </c>
      <c r="S27" s="20" t="str">
        <v>Open profile</v>
      </c>
      <c r="T27" s="12" t="str">
        <v>No</v>
      </c>
    </row>
    <row r="28" ht="67.19999694824219" customHeight="1">
      <c r="A28" s="12" t="str">
        <v>E19</v>
      </c>
      <c r="B28" s="12" t="str">
        <v>Core</v>
      </c>
      <c r="C28" s="12" t="str">
        <v>Product access</v>
      </c>
      <c r="D28" s="12" t="str">
        <v>ndaptrisa</v>
      </c>
      <c r="E28" s="14" t="n">
        <v>1047</v>
      </c>
      <c r="F28" s="12" t="str">
        <v>Reports never having a sample request approved.</v>
      </c>
      <c r="G28" s="12" t="str">
        <v>An attainable first product-access opportunity.</v>
      </c>
      <c r="H28" s="12" t="str">
        <v>Number of applications, time span, and reasons absent; no evidence this caused quitting.</v>
      </c>
      <c r="I28" s="23" t="n">
        <v>46281.46885416667</v>
      </c>
      <c r="J28" s="20" t="str">
        <v>Open source</v>
      </c>
      <c r="K28" s="12" t="str">
        <v>Comment</v>
      </c>
      <c r="L28" s="12" t="str">
        <v>firsthand_sample_rejection</v>
      </c>
      <c r="M28" s="12" t="str">
        <v>TikTok context indicated by parent caption/hashtags</v>
      </c>
      <c r="N28" s="12" t="str">
        <v>Beauty / personal care (explicit bio)</v>
      </c>
      <c r="O28" s="12" t="str">
        <v>Indonesian-language discussion; residence and city tier unverified</v>
      </c>
      <c r="P28" s="12" t="str">
        <v>Current account size and public creator activity observed</v>
      </c>
      <c r="Q28" s="24" t="inlineStr">
        <is>
          <t>7686090080309691144</t>
        </is>
      </c>
      <c r="R28" s="24" t="inlineStr">
        <is>
          <t>7685331261358869768</t>
        </is>
      </c>
      <c r="S28" s="20" t="str">
        <v>Open profile</v>
      </c>
      <c r="T28" s="12" t="str">
        <v>No</v>
      </c>
    </row>
    <row r="29" ht="67.19999694824219" customHeight="1">
      <c r="A29" s="12" t="str">
        <v>E20</v>
      </c>
      <c r="B29" s="12" t="str">
        <v>Core</v>
      </c>
      <c r="C29" s="12" t="str">
        <v>Product access</v>
      </c>
      <c r="D29" s="12" t="str">
        <v>mylive895</v>
      </c>
      <c r="E29" s="14" t="n">
        <v>1082</v>
      </c>
      <c r="F29" s="12" t="str">
        <v>Reports being rejected or ignored and asks how to gain approval.</v>
      </c>
      <c r="G29" s="12" t="str">
        <v>Application status, response expectations, and actionable eligibility guidance.</v>
      </c>
      <c r="H29" s="12" t="str">
        <v>Informal phrasing contains a typo; rejection or lack of response is clear but frequency is not. Inferred need is not an explicit feature request.</v>
      </c>
      <c r="I29" s="23" t="n">
        <v>46281.523981481485</v>
      </c>
      <c r="J29" s="20" t="str">
        <v>Open source</v>
      </c>
      <c r="K29" s="12" t="str">
        <v>Comment</v>
      </c>
      <c r="L29" s="12" t="str">
        <v>firsthand_sample_rejection_or_no_response</v>
      </c>
      <c r="M29" s="12" t="str">
        <v>TikTok context indicated by parent caption/hashtags</v>
      </c>
      <c r="N29" s="12" t="str">
        <v>Beauty / personal care (one observed post only)</v>
      </c>
      <c r="O29" s="12" t="str">
        <v>Indonesian-language discussion; residence and city tier unverified</v>
      </c>
      <c r="P29" s="12" t="str">
        <v>Current account size and public creator activity observed</v>
      </c>
      <c r="Q29" s="24" t="inlineStr">
        <is>
          <t>7686110544679535367</t>
        </is>
      </c>
      <c r="R29" s="24" t="inlineStr">
        <is>
          <t>7685331261358869768</t>
        </is>
      </c>
      <c r="S29" s="20" t="str">
        <v>Open profile</v>
      </c>
      <c r="T29" s="12" t="str">
        <v>No</v>
      </c>
    </row>
    <row r="30" ht="67.19999694824219" customHeight="1">
      <c r="A30" s="12" t="str">
        <v>E21</v>
      </c>
      <c r="B30" s="12" t="str">
        <v>Core</v>
      </c>
      <c r="C30" s="12" t="str">
        <v>Product access</v>
      </c>
      <c r="D30" s="12" t="str">
        <v>rora.aurora582</v>
      </c>
      <c r="E30" s="14" t="n">
        <v>1137</v>
      </c>
      <c r="F30" s="12" t="str">
        <v>Reports no approvals yet.</v>
      </c>
      <c r="G30" s="12" t="str">
        <v>A feasible path to first sample approval.</v>
      </c>
      <c r="H30" s="12" t="str">
        <v>Very brief and dependent on parent sample context; attempts, eligibility, and duration unspecified.</v>
      </c>
      <c r="I30" s="23" t="n">
        <v>46286.1187037037</v>
      </c>
      <c r="J30" s="20" t="str">
        <v>Open source</v>
      </c>
      <c r="K30" s="12" t="str">
        <v>Comment</v>
      </c>
      <c r="L30" s="12" t="str">
        <v>firsthand_sample_no_approval</v>
      </c>
      <c r="M30" s="12" t="str">
        <v>Parent author explicitly identifies as TikTok Shop Affiliate; commenter program not independently verified</v>
      </c>
      <c r="N30" s="12" t="str">
        <v>Beauty / personal care (one observed post only)</v>
      </c>
      <c r="O30" s="12" t="str">
        <v>Indonesian-language discussion; residence and city tier unverified</v>
      </c>
      <c r="P30" s="12" t="str">
        <v>Current account size and public creator activity observed</v>
      </c>
      <c r="Q30" s="24" t="inlineStr">
        <is>
          <t>7687815533764330260</t>
        </is>
      </c>
      <c r="R30" s="24" t="inlineStr">
        <is>
          <t>7687624645742742804</t>
        </is>
      </c>
      <c r="S30" s="20" t="str">
        <v>Open profile</v>
      </c>
      <c r="T30" s="12" t="str">
        <v>No</v>
      </c>
    </row>
    <row r="31" ht="67.19999694824219" customHeight="1">
      <c r="A31" s="12" t="str">
        <v>E22</v>
      </c>
      <c r="B31" s="12" t="str">
        <v>Core</v>
      </c>
      <c r="C31" s="12" t="str">
        <v>Earnings clarity</v>
      </c>
      <c r="D31" s="12" t="str">
        <v>gerecepin</v>
      </c>
      <c r="E31" s="14" t="n">
        <v>2692</v>
      </c>
      <c r="F31" s="12" t="str">
        <v>Reports commission not entering earnings since September 23.</v>
      </c>
      <c r="G31" s="12" t="str">
        <v>Visible commission status and predictable conversion to earnings.</v>
      </c>
      <c r="H31" s="12" t="str">
        <v>As of comment date; no ledger, eligibility, settlement schedule, or verified cause. Not necessarily an external bank withdrawal delay.</v>
      </c>
      <c r="I31" s="23" t="n">
        <v>46297.43188657407</v>
      </c>
      <c r="J31" s="20" t="str">
        <v>Open source</v>
      </c>
      <c r="K31" s="12" t="str">
        <v>Comment</v>
      </c>
      <c r="L31" s="12" t="str">
        <v>firsthand_commission_pending_or_missing</v>
      </c>
      <c r="M31" s="12" t="str">
        <v>TikTok context indicated by parent caption/hashtags</v>
      </c>
      <c r="N31" s="12" t="str">
        <v>Unknown</v>
      </c>
      <c r="O31" s="12" t="str">
        <v>Indonesian-language discussion; residence and city tier unverified</v>
      </c>
      <c r="P31" s="12" t="str">
        <v>Current account size and public creator activity observed</v>
      </c>
      <c r="Q31" s="24" t="inlineStr">
        <is>
          <t>7692013707451368200</t>
        </is>
      </c>
      <c r="R31" s="24" t="inlineStr">
        <is>
          <t>7691956494182583573</t>
        </is>
      </c>
      <c r="S31" s="20" t="str">
        <v>Open profile</v>
      </c>
      <c r="T31" s="12" t="str">
        <v>No</v>
      </c>
    </row>
    <row r="32" ht="67.19999694824219" customHeight="1">
      <c r="A32" s="12" t="str">
        <v>E23</v>
      </c>
      <c r="B32" s="12" t="str">
        <v>Core</v>
      </c>
      <c r="C32" s="12" t="str">
        <v>Earnings clarity</v>
      </c>
      <c r="D32" s="12" t="str">
        <v>kakarichia</v>
      </c>
      <c r="E32" s="14" t="n">
        <v>1166</v>
      </c>
      <c r="F32" s="12" t="str">
        <v>Says their similar case eventually all cleared or paid out, and advises waiting.</v>
      </c>
      <c r="G32" s="12" t="str">
        <v>Clear expected settlement timing could distinguish pending amounts from actual failures.</v>
      </c>
      <c r="H32" s="12" t="str">
        <v>Material contrary evidence to a universal loss claim. One self-report cannot guarantee others will be paid or establish the normal waiting period.</v>
      </c>
      <c r="I32" s="23" t="n">
        <v>46296.48091435185</v>
      </c>
      <c r="J32" s="20" t="str">
        <v>Open source</v>
      </c>
      <c r="K32" s="12" t="str">
        <v>Comment</v>
      </c>
      <c r="L32" s="12" t="str">
        <v>firsthand_resolution_disconfirming</v>
      </c>
      <c r="M32" s="12" t="str">
        <v>Unspecified; TikTok discussion context</v>
      </c>
      <c r="N32" s="12" t="str">
        <v>Beauty / personal care (one observed post only)</v>
      </c>
      <c r="O32" s="12" t="str">
        <v>Indonesian-language discussion; residence and city tier unverified</v>
      </c>
      <c r="P32" s="12" t="str">
        <v>Current account size and public creator activity observed</v>
      </c>
      <c r="Q32" s="24" t="inlineStr">
        <is>
          <t>7691660801553875730</t>
        </is>
      </c>
      <c r="R32" s="24" t="inlineStr">
        <is>
          <t>7691324968663125255</t>
        </is>
      </c>
      <c r="S32" s="20" t="str">
        <v>Open profile</v>
      </c>
      <c r="T32" s="12" t="str">
        <v>Yes</v>
      </c>
    </row>
    <row r="33" ht="67.19999694824219" customHeight="1">
      <c r="A33" s="12" t="str">
        <v>E24</v>
      </c>
      <c r="B33" s="12" t="str">
        <v>Core</v>
      </c>
      <c r="C33" s="12" t="str">
        <v>Earnings clarity</v>
      </c>
      <c r="D33" s="12" t="str">
        <v>dbstore4</v>
      </c>
      <c r="E33" s="14" t="n">
        <v>1239</v>
      </c>
      <c r="F33" s="12" t="str">
        <v>Reports having some amounts in a similar state and asks why.</v>
      </c>
      <c r="G33" s="12" t="str">
        <v>An intelligible explanation of commission status.</v>
      </c>
      <c r="H33" s="12" t="str">
        <v>Lower specificity; relies on parent caption for meaning. Do not infer exact amount, duration, or ultimate outcome.</v>
      </c>
      <c r="I33" s="23" t="n">
        <v>46296.36834490741</v>
      </c>
      <c r="J33" s="20" t="str">
        <v>Open source</v>
      </c>
      <c r="K33" s="12" t="str">
        <v>Comment</v>
      </c>
      <c r="L33" s="12" t="str">
        <v>firsthand_unspecified_commission_issue</v>
      </c>
      <c r="M33" s="12" t="str">
        <v>Unspecified; TikTok discussion context</v>
      </c>
      <c r="N33" s="12" t="str">
        <v>Unknown</v>
      </c>
      <c r="O33" s="12" t="str">
        <v>Indonesian-language discussion; residence and city tier unverified</v>
      </c>
      <c r="P33" s="12" t="str">
        <v>Current account size and public creator activity observed</v>
      </c>
      <c r="Q33" s="24" t="inlineStr">
        <is>
          <t>7691618994479072020</t>
        </is>
      </c>
      <c r="R33" s="24" t="inlineStr">
        <is>
          <t>7691324968663125255</t>
        </is>
      </c>
      <c r="S33" s="20" t="str">
        <v>Open profile</v>
      </c>
      <c r="T33" s="12" t="str">
        <v>No</v>
      </c>
    </row>
    <row r="34" ht="67.19999694824219" customHeight="1">
      <c r="A34" s="12" t="str">
        <v>E25</v>
      </c>
      <c r="B34" s="12" t="str">
        <v>Supporting</v>
      </c>
      <c r="C34" s="12" t="str">
        <v>Earnings clarity</v>
      </c>
      <c r="D34" s="12" t="str">
        <v>salsabillah247</v>
      </c>
      <c r="E34" s="14"/>
      <c r="F34" s="12" t="str">
        <v>Reports older amounts dating from June still in this state while September amounts have arrived.</v>
      </c>
      <c r="G34" s="12" t="str">
        <v>Reconcile individual transactions and explain why older items remain unresolved.</v>
      </c>
      <c r="H34" s="12" t="str">
        <v>Wording is compressed; exact year, transaction dates, eligibility, and payment stage not proven. Do not simplify into all earnings unpaid since June.</v>
      </c>
      <c r="I34" s="23" t="n">
        <v>46295.579733796294</v>
      </c>
      <c r="J34" s="20" t="str">
        <v>Open source</v>
      </c>
      <c r="K34" s="12" t="str">
        <v>Comment</v>
      </c>
      <c r="L34" s="12" t="str">
        <v>firsthand_mixed_commission_status</v>
      </c>
      <c r="M34" s="12" t="str">
        <v>Unspecified; TikTok discussion context</v>
      </c>
      <c r="N34" s="12" t="str">
        <v>Unknown</v>
      </c>
      <c r="O34" s="12" t="str">
        <v>Indonesian-language discussion; residence and city tier unverified</v>
      </c>
      <c r="P34" s="12" t="str">
        <v>Follower verification unavailable</v>
      </c>
      <c r="Q34" s="24" t="inlineStr">
        <is>
          <t>7691326391661052692</t>
        </is>
      </c>
      <c r="R34" s="24" t="inlineStr">
        <is>
          <t>7691324968663125255</t>
        </is>
      </c>
      <c r="S34" s="12"/>
      <c r="T34" s="12" t="str">
        <v>No</v>
      </c>
    </row>
    <row r="35" ht="67.19999694824219" customHeight="1">
      <c r="A35" s="12" t="str">
        <v>E26</v>
      </c>
      <c r="B35" s="12" t="str">
        <v>Core</v>
      </c>
      <c r="C35" s="12" t="str">
        <v>Stable compensation</v>
      </c>
      <c r="D35" s="12" t="str">
        <v>ervinayu1</v>
      </c>
      <c r="E35" s="14" t="n">
        <v>1176</v>
      </c>
      <c r="F35" s="12" t="str">
        <v>Mentions Rp300, around Rp30 million in sales, little received, and an unanswered sample request by direct message.</v>
      </c>
      <c r="G35" s="12" t="str">
        <v>Rewards and partner responsiveness that feel proportionate to contribution.</v>
      </c>
      <c r="H35" s="12" t="str">
        <v>The relationship between amounts is unclear; never calculate an effective commission rate or claim total earnings were only Rp300 on Rp30m sales.</v>
      </c>
      <c r="I35" s="23" t="n">
        <v>46291.65850694444</v>
      </c>
      <c r="J35" s="20" t="str">
        <v>Open source</v>
      </c>
      <c r="K35" s="12" t="str">
        <v>Comment</v>
      </c>
      <c r="L35" s="12" t="str">
        <v>firsthand_low_reward_and_unanswered_sample_request</v>
      </c>
      <c r="M35" s="12" t="str">
        <v>TikTok context indicated by parent caption/hashtags</v>
      </c>
      <c r="N35" s="12" t="str">
        <v>Mom / kids / mixed (explicit bio)</v>
      </c>
      <c r="O35" s="12" t="str">
        <v>Indonesian-language discussion; residence and city tier unverified</v>
      </c>
      <c r="P35" s="12" t="str">
        <v>Current account size and public creator activity observed</v>
      </c>
      <c r="Q35" s="24" t="inlineStr">
        <is>
          <t>7689871311531705140</t>
        </is>
      </c>
      <c r="R35" s="24" t="inlineStr">
        <is>
          <t>7689682966905228564</t>
        </is>
      </c>
      <c r="S35" s="20" t="str">
        <v>Open profile</v>
      </c>
      <c r="T35" s="12" t="str">
        <v>No</v>
      </c>
    </row>
    <row r="36" ht="67.19999694824219" customHeight="1">
      <c r="A36" s="12" t="str">
        <v>E27</v>
      </c>
      <c r="B36" s="12" t="str">
        <v>Core</v>
      </c>
      <c r="C36" s="12" t="str">
        <v>Stable compensation</v>
      </c>
      <c r="D36" s="12" t="str">
        <v>hanifh_24</v>
      </c>
      <c r="E36" s="14" t="n">
        <v>7811</v>
      </c>
      <c r="F36" s="12" t="str">
        <v>Reports that their commission was removed.</v>
      </c>
      <c r="G36" s="12" t="str">
        <v>Stable, transparent commission availability or terms.</v>
      </c>
      <c r="H36" s="12" t="str">
        <v>May refer to an offered rate, product commission, or accrued amount; does not establish stolen earnings or retrospective reversal.</v>
      </c>
      <c r="I36" s="23" t="n">
        <v>46291.245</v>
      </c>
      <c r="J36" s="20" t="str">
        <v>Open source</v>
      </c>
      <c r="K36" s="12" t="str">
        <v>Comment</v>
      </c>
      <c r="L36" s="12" t="str">
        <v>firsthand_reported_commission_removal</v>
      </c>
      <c r="M36" s="12" t="str">
        <v>TikTok context indicated by parent caption/hashtags</v>
      </c>
      <c r="N36" s="12" t="str">
        <v>Fashion or mixed fashion (explicit bio)</v>
      </c>
      <c r="O36" s="12" t="str">
        <v>Indonesian-language discussion; residence and city tier unverified</v>
      </c>
      <c r="P36" s="12" t="str">
        <v>Current account size and public creator activity observed</v>
      </c>
      <c r="Q36" s="24" t="inlineStr">
        <is>
          <t>7689717834176037639</t>
        </is>
      </c>
      <c r="R36" s="24" t="inlineStr">
        <is>
          <t>7689682966905228564</t>
        </is>
      </c>
      <c r="S36" s="20" t="str">
        <v>Open profile</v>
      </c>
      <c r="T36" s="12" t="str">
        <v>No</v>
      </c>
    </row>
    <row r="37" ht="67.19999694824219" customHeight="1">
      <c r="A37" s="12" t="str">
        <v>E28</v>
      </c>
      <c r="B37" s="12" t="str">
        <v>Supporting</v>
      </c>
      <c r="C37" s="12" t="str">
        <v>Stable compensation</v>
      </c>
      <c r="D37" s="12" t="str">
        <v>mufieshope</v>
      </c>
      <c r="E37" s="14" t="n">
        <v>1155</v>
      </c>
      <c r="F37" s="12" t="str">
        <v>Reports some commission disappeared and not knowing why.</v>
      </c>
      <c r="G37" s="12" t="str">
        <v>A clear explanation when commission availability or amounts change.</v>
      </c>
      <c r="H37" s="12" t="str">
        <v>Same ambiguity between offered commission and accrued earnings; no verified cause.</v>
      </c>
      <c r="I37" s="23" t="n">
        <v>46291.530127314814</v>
      </c>
      <c r="J37" s="20" t="str">
        <v>Open source</v>
      </c>
      <c r="K37" s="12" t="str">
        <v>Comment</v>
      </c>
      <c r="L37" s="12" t="str">
        <v>firsthand_reported_commission_removal_unclear_reason</v>
      </c>
      <c r="M37" s="12" t="str">
        <v>TikTok context indicated by parent caption/hashtags</v>
      </c>
      <c r="N37" s="12" t="str">
        <v>Unknown</v>
      </c>
      <c r="O37" s="12" t="str">
        <v>Indonesian-language discussion; residence and city tier unverified</v>
      </c>
      <c r="P37" s="12" t="str">
        <v>Mixed seller/creator role; kept as supporting evidence</v>
      </c>
      <c r="Q37" s="24" t="inlineStr">
        <is>
          <t>7689823658533094196</t>
        </is>
      </c>
      <c r="R37" s="24" t="inlineStr">
        <is>
          <t>7689682966905228564</t>
        </is>
      </c>
      <c r="S37" s="20" t="str">
        <v>Open profile</v>
      </c>
      <c r="T37" s="12" t="str">
        <v>No</v>
      </c>
    </row>
    <row r="38" ht="67.19999694824219" customHeight="1">
      <c r="A38" s="12" t="str">
        <v>E29</v>
      </c>
      <c r="B38" s="12" t="str">
        <v>Core</v>
      </c>
      <c r="C38" s="12" t="str">
        <v>Stable compensation</v>
      </c>
      <c r="D38" s="12" t="str">
        <v>debby.rosliana</v>
      </c>
      <c r="E38" s="14" t="n">
        <v>2002</v>
      </c>
      <c r="F38" s="12" t="str">
        <v>Reports a frustrating personal experience of a commission rate changing from 8% to 3%.</v>
      </c>
      <c r="G38" s="12" t="str">
        <v>Predictable rates and clear notice of changes.</v>
      </c>
      <c r="H38" s="12" t="str">
        <v>Does not establish when the change applied, whether it affected past sales, or whether any agreement was breached.</v>
      </c>
      <c r="I38" s="23" t="n">
        <v>46291.623761574076</v>
      </c>
      <c r="J38" s="20" t="str">
        <v>Open source</v>
      </c>
      <c r="K38" s="12" t="str">
        <v>Comment</v>
      </c>
      <c r="L38" s="12" t="str">
        <v>firsthand_commission_rate_change</v>
      </c>
      <c r="M38" s="12" t="str">
        <v>TikTok context indicated by parent caption/hashtags</v>
      </c>
      <c r="N38" s="12" t="str">
        <v>Mixed fashion / beauty / home (explicit bio)</v>
      </c>
      <c r="O38" s="12" t="str">
        <v>Indonesian-language discussion; residence and city tier unverified</v>
      </c>
      <c r="P38" s="12" t="str">
        <v>Current account size and public creator activity observed</v>
      </c>
      <c r="Q38" s="24" t="inlineStr">
        <is>
          <t>7689858411903140628</t>
        </is>
      </c>
      <c r="R38" s="24" t="inlineStr">
        <is>
          <t>7689682966905228564</t>
        </is>
      </c>
      <c r="S38" s="20" t="str">
        <v>Open profile</v>
      </c>
      <c r="T38" s="12" t="str">
        <v>No</v>
      </c>
    </row>
    <row r="39" ht="67.19999694824219" customHeight="1">
      <c r="A39" s="12" t="str">
        <v>E30</v>
      </c>
      <c r="B39" s="12" t="str">
        <v>Core</v>
      </c>
      <c r="C39" s="12" t="str">
        <v>Stable compensation</v>
      </c>
      <c r="D39" s="12" t="str">
        <v>diantaridia</v>
      </c>
      <c r="E39" s="14" t="n">
        <v>3202</v>
      </c>
      <c r="F39" s="12" t="str">
        <v>Reports a 2% commission during strong sales and 8% once sales were quiet.</v>
      </c>
      <c r="G39" s="12" t="str">
        <v>Evaluate earning opportunity through rate together with conversion or demand.</v>
      </c>
      <c r="H39" s="12" t="str">
        <v>One account; no time-series evidence or cause. Do not say higher rates reduce sales or that platforms intentionally manipulate rates.</v>
      </c>
      <c r="I39" s="23" t="n">
        <v>46291.64560185185</v>
      </c>
      <c r="J39" s="20" t="str">
        <v>Open source</v>
      </c>
      <c r="K39" s="12" t="str">
        <v>Comment</v>
      </c>
      <c r="L39" s="12" t="str">
        <v>firsthand_commission_rate_and_sales_mismatch</v>
      </c>
      <c r="M39" s="12" t="str">
        <v>TikTok context indicated by parent caption/hashtags</v>
      </c>
      <c r="N39" s="12" t="str">
        <v>Home / kitchen (explicit bio)</v>
      </c>
      <c r="O39" s="12" t="str">
        <v>Indonesian-language discussion; residence and city tier unverified</v>
      </c>
      <c r="P39" s="12" t="str">
        <v>Current account size and public creator activity observed</v>
      </c>
      <c r="Q39" s="24" t="inlineStr">
        <is>
          <t>7689866400274875188</t>
        </is>
      </c>
      <c r="R39" s="24" t="inlineStr">
        <is>
          <t>7689682966905228564</t>
        </is>
      </c>
      <c r="S39" s="20" t="str">
        <v>Open profile</v>
      </c>
      <c r="T39" s="12" t="str">
        <v>No</v>
      </c>
    </row>
    <row r="40" ht="67.19999694824219" customHeight="1">
      <c r="A40" s="12" t="str">
        <v>E31</v>
      </c>
      <c r="B40" s="12" t="str">
        <v>Supporting</v>
      </c>
      <c r="C40" s="12" t="str">
        <v>Earnings clarity</v>
      </c>
      <c r="D40" s="12" t="str">
        <v>spilltheric</v>
      </c>
      <c r="E40" s="14"/>
      <c r="F40" s="12" t="str">
        <v>Suggests the buyer may not have paid yet and commission will appear after payment.</v>
      </c>
      <c r="G40" s="12" t="str">
        <v>Clear order-to-commission stages could prevent misreading a pending sale.</v>
      </c>
      <c r="H40" s="12" t="str">
        <v>Not a verified diagnosis of sweetfairyy_7 or a primary firsthand need. Keep as alternative explanation only; exclude from creator-needs counts.</v>
      </c>
      <c r="I40" s="23" t="n">
        <v>46297.247465277775</v>
      </c>
      <c r="J40" s="20" t="str">
        <v>Open source</v>
      </c>
      <c r="K40" s="12" t="str">
        <v>Comment</v>
      </c>
      <c r="L40" s="12" t="str">
        <v>alternative_explanation_advice_not_firsthand</v>
      </c>
      <c r="M40" s="12" t="str">
        <v>TikTok context indicated by parent caption/hashtags</v>
      </c>
      <c r="N40" s="12" t="str">
        <v>Unknown</v>
      </c>
      <c r="O40" s="12" t="str">
        <v>Indonesian-language discussion; residence and city tier unverified</v>
      </c>
      <c r="P40" s="12" t="str">
        <v>Follower verification unavailable</v>
      </c>
      <c r="Q40" s="24" t="inlineStr">
        <is>
          <t>7691945261493093138</t>
        </is>
      </c>
      <c r="R40" s="24" t="inlineStr">
        <is>
          <t>7691917414488902932</t>
        </is>
      </c>
      <c r="S40" s="12"/>
      <c r="T40" s="12" t="str">
        <v>No</v>
      </c>
    </row>
    <row r="41" ht="67.19999694824219" customHeight="1">
      <c r="A41" s="12" t="str">
        <v>E32</v>
      </c>
      <c r="B41" s="12" t="str">
        <v>Core</v>
      </c>
      <c r="C41" s="12" t="str">
        <v>Stable compensation</v>
      </c>
      <c r="D41" s="12" t="str">
        <v>maulydaratih</v>
      </c>
      <c r="E41" s="14" t="n">
        <v>3201</v>
      </c>
      <c r="F41" s="12" t="str">
        <v>In the commission discussion, says they want to stay enthusiastic but struggle.</v>
      </c>
      <c r="G41" s="12" t="str">
        <v>Predictable rewards may matter to motivation to continue.</v>
      </c>
      <c r="H41" s="12" t="str">
        <v>Same author as the original maulydaratih caption. Do not count as another creator or claim actual churn occurred.</v>
      </c>
      <c r="I41" s="23" t="n">
        <v>46291.24616898148</v>
      </c>
      <c r="J41" s="20" t="str">
        <v>Open source</v>
      </c>
      <c r="K41" s="12" t="str">
        <v>Comment</v>
      </c>
      <c r="L41" s="12" t="str">
        <v>firsthand_motivation_difficulty</v>
      </c>
      <c r="M41" s="12" t="str">
        <v>TikTok context indicated by parent caption/hashtags</v>
      </c>
      <c r="N41" s="12" t="str">
        <v>Fashion or mixed fashion (explicit bio)</v>
      </c>
      <c r="O41" s="12" t="str">
        <v>Indonesian-language discussion; residence and city tier unverified</v>
      </c>
      <c r="P41" s="12" t="str">
        <v>Current account size and public creator activity observed</v>
      </c>
      <c r="Q41" s="24" t="inlineStr">
        <is>
          <t>7689718218839458566</t>
        </is>
      </c>
      <c r="R41" s="24" t="inlineStr">
        <is>
          <t>7689682966905228564</t>
        </is>
      </c>
      <c r="S41" s="12"/>
      <c r="T41" s="12" t="str">
        <v>No</v>
      </c>
    </row>
    <row r="42" ht="67.19999694824219" customHeight="1">
      <c r="A42" s="12" t="str">
        <v>E33</v>
      </c>
      <c r="B42" s="12" t="str">
        <v>Core</v>
      </c>
      <c r="C42" s="12" t="str">
        <v>Earnings clarity</v>
      </c>
      <c r="D42" s="12" t="str">
        <v>yuliaries25</v>
      </c>
      <c r="E42" s="14" t="n">
        <v>9257</v>
      </c>
      <c r="F42" s="12" t="str">
        <v>Says no amount had arrived through October 1 while asking another commenter when their issue began.</v>
      </c>
      <c r="G42" s="12" t="str">
        <v>Reliable status information and resolution for missing expected earnings.</v>
      </c>
      <c r="H42" s="12" t="str">
        <v>Same author and episode as yuliaries25 original caption. No independent count; exact start and transaction stage unknown.</v>
      </c>
      <c r="I42" s="23" t="n">
        <v>46297.3025462963</v>
      </c>
      <c r="J42" s="20" t="str">
        <v>Open source</v>
      </c>
      <c r="K42" s="12" t="str">
        <v>Comment</v>
      </c>
      <c r="L42" s="12" t="str">
        <v>firsthand_commission_status_update</v>
      </c>
      <c r="M42" s="12" t="str">
        <v>TikTok context indicated by parent caption/hashtags</v>
      </c>
      <c r="N42" s="12" t="str">
        <v>Unknown</v>
      </c>
      <c r="O42" s="12" t="str">
        <v>Indonesian-language discussion; residence and city tier unverified</v>
      </c>
      <c r="P42" s="12" t="str">
        <v>Current account size and public creator activity observed</v>
      </c>
      <c r="Q42" s="24" t="inlineStr">
        <is>
          <t>7691965706229449478</t>
        </is>
      </c>
      <c r="R42" s="24" t="inlineStr">
        <is>
          <t>7691956494182583573</t>
        </is>
      </c>
      <c r="S42" s="20" t="str">
        <v>Open profile</v>
      </c>
      <c r="T42" s="12" t="str">
        <v>No</v>
      </c>
    </row>
    <row r="43" ht="67.19999694824219" customHeight="1">
      <c r="A43" s="12" t="str">
        <v>E34</v>
      </c>
      <c r="B43" s="12" t="str">
        <v>Core</v>
      </c>
      <c r="C43" s="12" t="str">
        <v>Mission clarity</v>
      </c>
      <c r="D43" s="12" t="str">
        <v>ripkima_</v>
      </c>
      <c r="E43" s="14" t="n">
        <v>1081</v>
      </c>
      <c r="F43" s="12" t="str">
        <v>Reports own live-session progress resetting; says September previously allowed 2–3 sessions.</v>
      </c>
      <c r="G43" s="12" t="str">
        <v>Understand mission conditions and have effort recognized predictably.</v>
      </c>
      <c r="H43" s="12" t="str">
        <v>One campaign thread; rule change or defect not verified. No observed churn.</v>
      </c>
      <c r="I43" s="23" t="n">
        <v>46296.39336805556</v>
      </c>
      <c r="J43" s="20" t="str">
        <v>Open source</v>
      </c>
      <c r="K43" s="12" t="str">
        <v>Comment</v>
      </c>
      <c r="L43" s="12" t="str">
        <v>Firsthand report</v>
      </c>
      <c r="M43" s="12" t="str">
        <v>Shopee Live (explicit parent caption)</v>
      </c>
      <c r="N43" s="12" t="str">
        <v>Unknown</v>
      </c>
      <c r="O43" s="12" t="str">
        <v>Indonesian-language discussion; residence and city tier unverified</v>
      </c>
      <c r="P43" s="12" t="str">
        <v>Current account size and public creator activity observed</v>
      </c>
      <c r="Q43" s="24" t="inlineStr">
        <is>
          <t>7691628318714594055</t>
        </is>
      </c>
      <c r="R43" s="24" t="inlineStr">
        <is>
          <t>7691340178606066951</t>
        </is>
      </c>
      <c r="S43" s="20" t="str">
        <v>Open profile</v>
      </c>
      <c r="T43" s="12" t="str">
        <v>No</v>
      </c>
    </row>
    <row r="44" ht="67.19999694824219" customHeight="1">
      <c r="A44" s="12" t="str">
        <v>E35</v>
      </c>
      <c r="B44" s="12" t="str">
        <v>Supporting</v>
      </c>
      <c r="C44" s="12" t="str">
        <v>Mission clarity</v>
      </c>
      <c r="D44" s="12" t="str">
        <v>bebikinantwin</v>
      </c>
      <c r="E44" s="14" t="n">
        <v>36</v>
      </c>
      <c r="F44" s="12" t="str">
        <v>Reports 3.5 hours live not counting toward the mission.</v>
      </c>
      <c r="G44" s="12" t="str">
        <v>Clear eligibility and progress recognition.</v>
      </c>
      <c r="H44" s="12" t="str">
        <v>Observed profile has other business content; affiliate versus seller role not clear. Supporting only.</v>
      </c>
      <c r="I44" s="23" t="n">
        <v>46296.684907407405</v>
      </c>
      <c r="J44" s="20" t="str">
        <v>Open source</v>
      </c>
      <c r="K44" s="12" t="str">
        <v>Comment</v>
      </c>
      <c r="L44" s="12" t="str">
        <v>Firsthand report</v>
      </c>
      <c r="M44" s="12" t="str">
        <v>Shopee Live (explicit parent caption)</v>
      </c>
      <c r="N44" s="12" t="str">
        <v>Unknown</v>
      </c>
      <c r="O44" s="12" t="str">
        <v>Indonesian-language discussion; residence and city tier unverified</v>
      </c>
      <c r="P44" s="12" t="str">
        <v>Current account size and public creator activity observed</v>
      </c>
      <c r="Q44" s="24" t="inlineStr">
        <is>
          <t>7691736526912979719</t>
        </is>
      </c>
      <c r="R44" s="24" t="inlineStr">
        <is>
          <t>7691340178606066951</t>
        </is>
      </c>
      <c r="S44" s="20" t="str">
        <v>Open profile</v>
      </c>
      <c r="T44" s="12" t="str">
        <v>No</v>
      </c>
    </row>
    <row r="45" ht="67.19999694824219" customHeight="1">
      <c r="A45" s="12" t="str">
        <v>E36</v>
      </c>
      <c r="B45" s="12" t="str">
        <v>Supporting</v>
      </c>
      <c r="C45" s="12" t="str">
        <v>Mission clarity</v>
      </c>
      <c r="D45" s="12" t="str">
        <v>iraayuyu</v>
      </c>
      <c r="E45" s="14" t="n">
        <v>2623</v>
      </c>
      <c r="F45" s="12" t="str">
        <v>Reports four hours live followed by a new session starting at zero.</v>
      </c>
      <c r="G45" s="12" t="str">
        <v>Predictable accumulated progress across sessions.</v>
      </c>
      <c r="H45" s="12" t="str">
        <v>Private account; creator activity not independently inspected. Supporting only.</v>
      </c>
      <c r="I45" s="23" t="n">
        <v>46296.38670138889</v>
      </c>
      <c r="J45" s="20" t="str">
        <v>Open source</v>
      </c>
      <c r="K45" s="12" t="str">
        <v>Comment</v>
      </c>
      <c r="L45" s="12" t="str">
        <v>Firsthand report</v>
      </c>
      <c r="M45" s="12" t="str">
        <v>Shopee Live (explicit parent caption)</v>
      </c>
      <c r="N45" s="12" t="str">
        <v>Unknown</v>
      </c>
      <c r="O45" s="12" t="str">
        <v>Indonesian-language discussion; residence and city tier unverified</v>
      </c>
      <c r="P45" s="12" t="str">
        <v>Public follower count available; private content not inspected</v>
      </c>
      <c r="Q45" s="24" t="inlineStr">
        <is>
          <t>7691625839372550933</t>
        </is>
      </c>
      <c r="R45" s="24" t="inlineStr">
        <is>
          <t>7691340178606066951</t>
        </is>
      </c>
      <c r="S45" s="20" t="str">
        <v>Open profile</v>
      </c>
      <c r="T45" s="12" t="str">
        <v>No</v>
      </c>
    </row>
    <row r="46" ht="67.19999694824219" customHeight="1">
      <c r="A46" s="12" t="str">
        <v>E37</v>
      </c>
      <c r="B46" s="12" t="str">
        <v>Supporting</v>
      </c>
      <c r="C46" s="12" t="str">
        <v>Mission clarity</v>
      </c>
      <c r="D46" s="12" t="str">
        <v>aarsya64</v>
      </c>
      <c r="E46" s="14" t="n">
        <v>822</v>
      </c>
      <c r="F46" s="12" t="str">
        <v>Reports split sessions resetting progress unlike usual experience.</v>
      </c>
      <c r="G46" s="12" t="str">
        <v>Understand whether work can be split into manageable sessions.</v>
      </c>
      <c r="H46" s="12" t="str">
        <v>Private account; creator activity not independently inspected. Supporting only.</v>
      </c>
      <c r="I46" s="23" t="n">
        <v>46297.371157407404</v>
      </c>
      <c r="J46" s="20" t="str">
        <v>Open source</v>
      </c>
      <c r="K46" s="12" t="str">
        <v>Comment</v>
      </c>
      <c r="L46" s="12" t="str">
        <v>Firsthand report</v>
      </c>
      <c r="M46" s="12" t="str">
        <v>Shopee Live (explicit parent caption)</v>
      </c>
      <c r="N46" s="12" t="str">
        <v>Unknown</v>
      </c>
      <c r="O46" s="12" t="str">
        <v>Indonesian-language discussion; residence and city tier unverified</v>
      </c>
      <c r="P46" s="12" t="str">
        <v>Public follower count available; private content not inspected</v>
      </c>
      <c r="Q46" s="24" t="inlineStr">
        <is>
          <t>7691991170100855560</t>
        </is>
      </c>
      <c r="R46" s="24" t="inlineStr">
        <is>
          <t>7691340178606066951</t>
        </is>
      </c>
      <c r="S46" s="20" t="str">
        <v>Open profile</v>
      </c>
      <c r="T46" s="12" t="str">
        <v>No</v>
      </c>
    </row>
    <row r="47" ht="67.19999694824219" customHeight="1">
      <c r="A47" s="12" t="str">
        <v>E38</v>
      </c>
      <c r="B47" s="12" t="str">
        <v>Core</v>
      </c>
      <c r="C47" s="12" t="str">
        <v>Mission clarity</v>
      </c>
      <c r="D47" s="12" t="str">
        <v>nazqueen74</v>
      </c>
      <c r="E47" s="14" t="n">
        <v>1159</v>
      </c>
      <c r="F47" s="12" t="str">
        <v>Asks whether sessions can be split and reports a 10-hour target rather than three.</v>
      </c>
      <c r="G47" s="12" t="str">
        <v>Clear personalized mission conditions.</v>
      </c>
      <c r="H47" s="12" t="str">
        <v>Target report/question, not evidence of completed work or lost reward.</v>
      </c>
      <c r="I47" s="23" t="n">
        <v>46296.33466435185</v>
      </c>
      <c r="J47" s="20" t="str">
        <v>Open source</v>
      </c>
      <c r="K47" s="12" t="str">
        <v>Comment</v>
      </c>
      <c r="L47" s="12" t="str">
        <v>Firsthand report</v>
      </c>
      <c r="M47" s="12" t="str">
        <v>Shopee Live (explicit parent caption)</v>
      </c>
      <c r="N47" s="12" t="str">
        <v>Fashion or mixed fashion (explicit bio)</v>
      </c>
      <c r="O47" s="12" t="str">
        <v>Indonesian-language discussion; residence and city tier unverified</v>
      </c>
      <c r="P47" s="12" t="str">
        <v>Current account size and public creator activity observed</v>
      </c>
      <c r="Q47" s="24" t="inlineStr">
        <is>
          <t>7691606543921333012</t>
        </is>
      </c>
      <c r="R47" s="24" t="inlineStr">
        <is>
          <t>7691340178606066951</t>
        </is>
      </c>
      <c r="S47" s="20" t="str">
        <v>Open profile</v>
      </c>
      <c r="T47" s="12" t="str">
        <v>No</v>
      </c>
    </row>
    <row r="48" ht="67.19999694824219" customHeight="1">
      <c r="A48" s="12" t="str">
        <v>E39</v>
      </c>
      <c r="B48" s="12" t="str">
        <v>Core</v>
      </c>
      <c r="C48" s="12" t="str">
        <v>Practical help</v>
      </c>
      <c r="D48" s="12" t="str">
        <v>belbel4192</v>
      </c>
      <c r="E48" s="14" t="n">
        <v>864</v>
      </c>
      <c r="F48" s="12" t="str">
        <v>Says voice-over is difficult because they cannot speak fluently.</v>
      </c>
      <c r="G48" s="12" t="str">
        <v>Practical help with a specific content-production task.</v>
      </c>
      <c r="H48" s="12" t="str">
        <v>Own recent post also identifies as a beginner affiliate. A script or tool is our proposed solution, not an explicit request.</v>
      </c>
      <c r="I48" s="23" t="n">
        <v>46296.543344907404</v>
      </c>
      <c r="J48" s="20" t="str">
        <v>Open source</v>
      </c>
      <c r="K48" s="12" t="str">
        <v>Comment</v>
      </c>
      <c r="L48" s="12" t="str">
        <v>Firsthand report</v>
      </c>
      <c r="M48" s="12" t="str">
        <v>Affiliate program unspecified</v>
      </c>
      <c r="N48" s="12" t="str">
        <v>Fashion or mixed fashion (explicit bio)</v>
      </c>
      <c r="O48" s="12" t="str">
        <v>Indonesian-language discussion; residence and city tier unverified</v>
      </c>
      <c r="P48" s="12" t="str">
        <v>Current account size and public creator activity observed</v>
      </c>
      <c r="Q48" s="24" t="inlineStr">
        <is>
          <t>7691683961824690965</t>
        </is>
      </c>
      <c r="R48" s="24" t="inlineStr">
        <is>
          <t>7689764650803645703</t>
        </is>
      </c>
      <c r="S48" s="20" t="str">
        <v>Open profile</v>
      </c>
      <c r="T48" s="12" t="str">
        <v>No</v>
      </c>
    </row>
    <row r="49" ht="67.19999694824219" customHeight="1">
      <c r="A49" s="12" t="str">
        <v>E40</v>
      </c>
      <c r="B49" s="12" t="str">
        <v>Core</v>
      </c>
      <c r="C49" s="12" t="str">
        <v>Practical help</v>
      </c>
      <c r="D49" s="12" t="str">
        <v>mfshop123</v>
      </c>
      <c r="E49" s="14" t="n">
        <v>1106</v>
      </c>
      <c r="F49" s="12" t="str">
        <v>Asks what went wrong and reports stagnation and falling account levels.</v>
      </c>
      <c r="G49" s="12" t="str">
        <v>Actionable diagnosis of what to change.</v>
      </c>
      <c r="H49" s="12" t="str">
        <v>Level is not income. Own profile has product-promotion activity.</v>
      </c>
      <c r="I49" s="23" t="n">
        <v>46292.31164351852</v>
      </c>
      <c r="J49" s="20" t="str">
        <v>Open source</v>
      </c>
      <c r="K49" s="12" t="str">
        <v>Comment</v>
      </c>
      <c r="L49" s="12" t="str">
        <v>Firsthand report</v>
      </c>
      <c r="M49" s="12" t="str">
        <v>Affiliate program unspecified</v>
      </c>
      <c r="N49" s="12" t="str">
        <v>Unknown</v>
      </c>
      <c r="O49" s="12" t="str">
        <v>Indonesian-language discussion; residence and city tier unverified</v>
      </c>
      <c r="P49" s="12" t="str">
        <v>Current account size and public creator activity observed</v>
      </c>
      <c r="Q49" s="24" t="inlineStr">
        <is>
          <t>7690113666439709447</t>
        </is>
      </c>
      <c r="R49" s="24" t="inlineStr">
        <is>
          <t>7689764650803645703</t>
        </is>
      </c>
      <c r="S49" s="20" t="str">
        <v>Open profile</v>
      </c>
      <c r="T49" s="12" t="str">
        <v>No</v>
      </c>
    </row>
    <row r="50" ht="67.19999694824219" customHeight="1">
      <c r="A50" s="12" t="str">
        <v>E41</v>
      </c>
      <c r="B50" s="12" t="str">
        <v>Supporting</v>
      </c>
      <c r="C50" s="12" t="str">
        <v>Earnings clarity</v>
      </c>
      <c r="D50" s="12" t="str">
        <v>flanker585</v>
      </c>
      <c r="E50" s="14" t="n">
        <v>754</v>
      </c>
      <c r="F50" s="12" t="str">
        <v>Asks how to handle a remaining Rp1,000 balance when withdrawal and exit seem unavailable.</v>
      </c>
      <c r="G50" s="12" t="str">
        <v>Understand low-balance withdrawal and exit rules.</v>
      </c>
      <c r="H50" s="12" t="str">
        <v>Conditional phrasing; firsthand status and account eligibility uncertain. Supporting only.</v>
      </c>
      <c r="I50" s="23" t="n">
        <v>46259.10025462963</v>
      </c>
      <c r="J50" s="20" t="str">
        <v>Open source</v>
      </c>
      <c r="K50" s="12" t="str">
        <v>Comment</v>
      </c>
      <c r="L50" s="12" t="str">
        <v>Firsthand report</v>
      </c>
      <c r="M50" s="12" t="str">
        <v>Affiliate program unspecified</v>
      </c>
      <c r="N50" s="12" t="str">
        <v>Unknown</v>
      </c>
      <c r="O50" s="12" t="str">
        <v>Indonesian-language discussion; residence and city tier unverified</v>
      </c>
      <c r="P50" s="12" t="str">
        <v>Current account size and public creator activity observed</v>
      </c>
      <c r="Q50" s="24" t="inlineStr">
        <is>
          <t>7677789367356457735</t>
        </is>
      </c>
      <c r="R50" s="24" t="inlineStr">
        <is>
          <t>7667136033665846535</t>
        </is>
      </c>
      <c r="S50" s="20" t="str">
        <v>Open profile</v>
      </c>
      <c r="T50" s="12" t="str">
        <v>No</v>
      </c>
    </row>
    <row r="51" ht="67.19999694824219" customHeight="1">
      <c r="A51" s="12" t="str">
        <v>E42</v>
      </c>
      <c r="B51" s="12" t="str">
        <v>Core</v>
      </c>
      <c r="C51" s="12" t="str">
        <v>Practical help</v>
      </c>
      <c r="D51" s="12" t="str">
        <v>noonastyle20</v>
      </c>
      <c r="E51" s="14" t="n">
        <v>1106</v>
      </c>
      <c r="F51" s="12" t="str">
        <v>Day 6 concerns a third account. Reports an earlier ~1,500-follower account stagnating while another ~800-follower account reached level 4.</v>
      </c>
      <c r="G51" s="12" t="str">
        <v>Segment by experience and diagnose productive actions; a small or new account need not be a novice.</v>
      </c>
      <c r="H51" s="12" t="str">
        <v>TikTok-provided subtitles. Other accounts and level histories are self-reported, not independently verified. No income or causal inference.</v>
      </c>
      <c r="I51" s="23" t="n">
        <v>46292.125</v>
      </c>
      <c r="J51" s="20" t="str">
        <v>Open source</v>
      </c>
      <c r="K51" s="12" t="str">
        <v>Subtitle</v>
      </c>
      <c r="L51" s="12" t="str">
        <v>Firsthand report</v>
      </c>
      <c r="M51" s="12" t="str">
        <v>Affiliate experience; specific program not explicitly named in subtitles</v>
      </c>
      <c r="N51" s="12" t="str">
        <v>Fashion or mixed fashion (explicit bio)</v>
      </c>
      <c r="O51" s="12" t="str">
        <v>Indonesian-language discussion; residence and city tier unverified</v>
      </c>
      <c r="P51" s="12" t="str">
        <v>Current account size and public creator activity observed</v>
      </c>
      <c r="Q51" s="24" t="inlineStr">
        <is>
          <t>7689764650803645703</t>
        </is>
      </c>
      <c r="R51" s="24" t="inlineStr">
        <is>
          <t>7689764650803645703</t>
        </is>
      </c>
      <c r="S51" s="12"/>
      <c r="T51" s="12" t="str">
        <v>No</v>
      </c>
    </row>
    <row r="52" ht="67.19999694824219" customHeight="1">
      <c r="A52" s="12" t="str">
        <v>OV01</v>
      </c>
      <c r="B52" s="12" t="str">
        <v>Supplemental</v>
      </c>
      <c r="C52" s="12" t="str">
        <v>Practical help</v>
      </c>
      <c r="D52" s="12" t="str">
        <v>fitpockette</v>
      </c>
      <c r="E52" s="14" t="n">
        <v>9</v>
      </c>
      <c r="F52" s="12" t="str">
        <v>Reports starting content again on a new account because the old account was not developing.</v>
      </c>
      <c r="G52" s="12" t="str">
        <v>Prior experience and current obstacle may be more useful for support design than follower count alone.</v>
      </c>
      <c r="H52" s="12" t="str">
        <v>Current firsthand caption; no explicit request for coaching. Account growth is not an earnings measure. Prior account performance is self-reported. Kept separate from the baseline analytic sample.</v>
      </c>
      <c r="I52" s="23" t="n">
        <v>46297.21010416667</v>
      </c>
      <c r="J52" s="20" t="str">
        <v>Open source</v>
      </c>
      <c r="K52" s="12" t="str">
        <v>Caption</v>
      </c>
      <c r="L52" s="12" t="str">
        <v>Supplemental firsthand context</v>
      </c>
      <c r="M52" s="12" t="str">
        <v>Affiliate experience; specific program not verified</v>
      </c>
      <c r="N52" s="12" t="str">
        <v>Fashion (explicit bio and hashtags)</v>
      </c>
      <c r="O52" s="12" t="str">
        <v>Indonesian-language caption; residence and city tier unverified</v>
      </c>
      <c r="P52" s="12" t="str">
        <v>Supplemental six-month discovery; not pooled with baseline counts</v>
      </c>
      <c r="Q52" s="24" t="inlineStr">
        <is>
          <t>7691931418896715016</t>
        </is>
      </c>
      <c r="R52" s="24" t="inlineStr">
        <is>
          <t>7691931418896715016</t>
        </is>
      </c>
      <c r="S52" s="20" t="str">
        <v>Open profile</v>
      </c>
      <c r="T52" s="12" t="str">
        <v>No</v>
      </c>
    </row>
    <row r="53" ht="67.19999694824219" customHeight="1">
      <c r="A53" s="12" t="str">
        <v>OV02</v>
      </c>
      <c r="B53" s="12" t="str">
        <v>Supplemental</v>
      </c>
      <c r="C53" s="12" t="str">
        <v>Practical help</v>
      </c>
      <c r="D53" s="12" t="str">
        <v>viaindriani_</v>
      </c>
      <c r="E53" s="14" t="n">
        <v>3665</v>
      </c>
      <c r="F53" s="12" t="str">
        <v>Acknowledges stalled views and urges persistence after the effort already invested.</v>
      </c>
      <c r="G53" s="12" t="str">
        <v>Progress diagnosis may matter in Home &amp; Living too, but the desired form of support remains untested.</v>
      </c>
      <c r="H53" s="12" t="str">
        <v>Current firsthand caption; no explicit request for training or proof of churn, commission loss or future retention. Views are not income. Kept separate from the baseline analytic sample.</v>
      </c>
      <c r="I53" s="23" t="n">
        <v>46276.49501157407</v>
      </c>
      <c r="J53" s="20" t="str">
        <v>Open source</v>
      </c>
      <c r="K53" s="12" t="str">
        <v>Caption</v>
      </c>
      <c r="L53" s="12" t="str">
        <v>Supplemental firsthand context</v>
      </c>
      <c r="M53" s="12" t="str">
        <v>TikTok affiliate indicated by hashtag; no Blibli firsthand experience established</v>
      </c>
      <c r="N53" s="12" t="str">
        <v>Home / living (explicit bio and hashtags)</v>
      </c>
      <c r="O53" s="12" t="str">
        <v>Indonesian-language caption; residence and city tier unverified</v>
      </c>
      <c r="P53" s="12" t="str">
        <v>Supplemental six-month discovery; not pooled with baseline counts</v>
      </c>
      <c r="Q53" s="24" t="inlineStr">
        <is>
          <t>7684244374208728340</t>
        </is>
      </c>
      <c r="R53" s="24" t="inlineStr">
        <is>
          <t>7684244374208728340</t>
        </is>
      </c>
      <c r="S53" s="20" t="str">
        <v>Open profile</v>
      </c>
      <c r="T53" s="12" t="str">
        <v>No</v>
      </c>
    </row>
    <row r="54" ht="67.19999694824219" customHeight="1">
      <c r="A54" s="12" t="str">
        <v>OV03</v>
      </c>
      <c r="B54" s="12" t="str">
        <v>Supplemental</v>
      </c>
      <c r="C54" s="12" t="str">
        <v>Early proof</v>
      </c>
      <c r="D54" s="12" t="str">
        <v>mariaulfahyaa</v>
      </c>
      <c r="E54" s="14" t="n">
        <v>2901</v>
      </c>
      <c r="F54" s="12" t="str">
        <v>Describes enjoying buying kitchen furnishings with their own affiliate earnings and hopes to continue.</v>
      </c>
      <c r="G54" s="12" t="str">
        <v>Earnings may support tangible household goals; this is a positive Home &amp; Living context to explore in interviews.</v>
      </c>
      <c r="H54" s="12" t="str">
        <v>Published 11 May 2026, outside the baseline 90-day window but within this six-month extension. Purchase and earnings are self-reported; no amount or verified payment record. Kept separate from the baseline analytic sample.</v>
      </c>
      <c r="I54" s="23" t="n">
        <v>46153.10277777778</v>
      </c>
      <c r="J54" s="20" t="str">
        <v>Open source</v>
      </c>
      <c r="K54" s="12" t="str">
        <v>Caption</v>
      </c>
      <c r="L54" s="12" t="str">
        <v>Supplemental firsthand context</v>
      </c>
      <c r="M54" s="12" t="str">
        <v>Affiliate experience; specific program not verified</v>
      </c>
      <c r="N54" s="12" t="str">
        <v>Home / kitchen (explicit bio and caption)</v>
      </c>
      <c r="O54" s="12" t="str">
        <v>Indonesian-language caption; residence and city tier unverified</v>
      </c>
      <c r="P54" s="12" t="str">
        <v>Supplemental six-month discovery; not pooled with baseline counts</v>
      </c>
      <c r="Q54" s="24" t="inlineStr">
        <is>
          <t>7638416779416472853</t>
        </is>
      </c>
      <c r="R54" s="24" t="inlineStr">
        <is>
          <t>7638416779416472853</t>
        </is>
      </c>
      <c r="S54" s="20" t="str">
        <v>Open profile</v>
      </c>
      <c r="T54" s="12" t="str">
        <v>Yes</v>
      </c>
    </row>
    <row r="55" ht="67.19999694824219" customHeight="1">
      <c r="A55" s="12" t="str">
        <v>OV04</v>
      </c>
      <c r="B55" s="12" t="str">
        <v>Supplemental</v>
      </c>
      <c r="C55" s="12" t="str">
        <v>Early proof</v>
      </c>
      <c r="D55" s="12" t="str">
        <v>leustia.nuna</v>
      </c>
      <c r="E55" s="14" t="n">
        <v>879</v>
      </c>
      <c r="F55" s="12" t="str">
        <v>Celebrates a first milestone for a small account; the post includes affiliate, fashion and free-sample hashtags.</v>
      </c>
      <c r="G55" s="12" t="str">
        <v>An early milestone can be emotionally meaningful, but the event is unspecified.</v>
      </c>
      <c r="H55" s="12" t="str">
        <v>The phrase pecah telor is ambiguous alongside the sample hashtag. Do not label this first sale, first commission, sample approval or cash payment without more context. Kept separate from the baseline analytic sample.</v>
      </c>
      <c r="I55" s="23" t="n">
        <v>46295.38538194444</v>
      </c>
      <c r="J55" s="20" t="str">
        <v>Open source</v>
      </c>
      <c r="K55" s="12" t="str">
        <v>Caption</v>
      </c>
      <c r="L55" s="12" t="str">
        <v>Supplemental ambiguous milestone</v>
      </c>
      <c r="M55" s="12" t="str">
        <v>Affiliate experience; specific program not verified</v>
      </c>
      <c r="N55" s="12" t="str">
        <v>Mixed beauty / fashion (explicit bio)</v>
      </c>
      <c r="O55" s="12" t="str">
        <v>Indonesian-language caption; residence and city tier unverified</v>
      </c>
      <c r="P55" s="12" t="str">
        <v>Supplemental six-month discovery; not pooled with baseline counts</v>
      </c>
      <c r="Q55" s="24" t="inlineStr">
        <is>
          <t>7691254300298726664</t>
        </is>
      </c>
      <c r="R55" s="24" t="inlineStr">
        <is>
          <t>7691254300298726664</t>
        </is>
      </c>
      <c r="S55" s="20" t="str">
        <v>Open profile</v>
      </c>
      <c r="T55" s="12" t="str">
        <v>No</v>
      </c>
    </row>
  </sheetData>
  <conditionalFormatting sqref="B10:B55">
    <cfRule type="containsText" dxfId="0" priority="1" operator="containsText" text="Supporting"/>
    <cfRule type="containsText" dxfId="1" priority="2" operator="containsText" text="Supplemental"/>
  </conditionalFormatting>
  <hyperlinks>
    <hyperlink ref="J10" display="Open source" r:id="rIdLink1"/>
    <hyperlink ref="S10" display="Open profile" r:id="rIdLink2"/>
    <hyperlink ref="J11" display="Open source" r:id="rIdLink3"/>
    <hyperlink ref="S11" display="Open profile" r:id="rIdLink4"/>
    <hyperlink ref="J12" display="Open source" r:id="rIdLink5"/>
    <hyperlink ref="J13" display="Open source" r:id="rIdLink6"/>
    <hyperlink ref="S13" display="Open profile" r:id="rIdLink7"/>
    <hyperlink ref="J14" display="Open source" r:id="rIdLink8"/>
    <hyperlink ref="S14" display="Open profile" r:id="rIdLink9"/>
    <hyperlink ref="J15" display="Open source" r:id="rIdLink10"/>
    <hyperlink ref="S15" display="Open profile" r:id="rIdLink11"/>
    <hyperlink ref="J16" display="Open source" r:id="rIdLink12"/>
    <hyperlink ref="S16" display="Open profile" r:id="rIdLink13"/>
    <hyperlink ref="J17" display="Open source" r:id="rIdLink14"/>
    <hyperlink ref="S17" display="Open profile" r:id="rIdLink15"/>
    <hyperlink ref="J18" display="Open source" r:id="rIdLink16"/>
    <hyperlink ref="S18" display="Open profile" r:id="rIdLink17"/>
    <hyperlink ref="J19" display="Open source" r:id="rIdLink18"/>
    <hyperlink ref="S19" display="Open profile" r:id="rIdLink19"/>
    <hyperlink ref="J20" display="Open source" r:id="rIdLink20"/>
    <hyperlink ref="S20" display="Open profile" r:id="rIdLink21"/>
    <hyperlink ref="J21" display="Open source" r:id="rIdLink22"/>
    <hyperlink ref="S21" display="Open profile" r:id="rIdLink23"/>
    <hyperlink ref="J22" display="Open source" r:id="rIdLink24"/>
    <hyperlink ref="S22" display="Open profile" r:id="rIdLink25"/>
    <hyperlink ref="J23" display="Open source" r:id="rIdLink26"/>
    <hyperlink ref="S23" display="Open profile" r:id="rIdLink27"/>
    <hyperlink ref="J24" display="Open source" r:id="rIdLink28"/>
    <hyperlink ref="S24" display="Open profile" r:id="rIdLink29"/>
    <hyperlink ref="J25" display="Open source" r:id="rIdLink30"/>
    <hyperlink ref="S25" display="Open profile" r:id="rIdLink31"/>
    <hyperlink ref="J26" display="Open source" r:id="rIdLink32"/>
    <hyperlink ref="S26" display="Open profile" r:id="rIdLink33"/>
    <hyperlink ref="J27" display="Open source" r:id="rIdLink34"/>
    <hyperlink ref="S27" display="Open profile" r:id="rIdLink35"/>
    <hyperlink ref="J28" display="Open source" r:id="rIdLink36"/>
    <hyperlink ref="S28" display="Open profile" r:id="rIdLink37"/>
    <hyperlink ref="J29" display="Open source" r:id="rIdLink38"/>
    <hyperlink ref="S29" display="Open profile" r:id="rIdLink39"/>
    <hyperlink ref="J30" display="Open source" r:id="rIdLink40"/>
    <hyperlink ref="S30" display="Open profile" r:id="rIdLink41"/>
    <hyperlink ref="J31" display="Open source" r:id="rIdLink42"/>
    <hyperlink ref="S31" display="Open profile" r:id="rIdLink43"/>
    <hyperlink ref="J32" display="Open source" r:id="rIdLink44"/>
    <hyperlink ref="S32" display="Open profile" r:id="rIdLink45"/>
    <hyperlink ref="J33" display="Open source" r:id="rIdLink46"/>
    <hyperlink ref="S33" display="Open profile" r:id="rIdLink47"/>
    <hyperlink ref="J34" display="Open source" r:id="rIdLink48"/>
    <hyperlink ref="J35" display="Open source" r:id="rIdLink49"/>
    <hyperlink ref="S35" display="Open profile" r:id="rIdLink50"/>
    <hyperlink ref="J36" display="Open source" r:id="rIdLink51"/>
    <hyperlink ref="S36" display="Open profile" r:id="rIdLink52"/>
    <hyperlink ref="J37" display="Open source" r:id="rIdLink53"/>
    <hyperlink ref="S37" display="Open profile" r:id="rIdLink54"/>
    <hyperlink ref="J38" display="Open source" r:id="rIdLink55"/>
    <hyperlink ref="S38" display="Open profile" r:id="rIdLink56"/>
    <hyperlink ref="J39" display="Open source" r:id="rIdLink57"/>
    <hyperlink ref="S39" display="Open profile" r:id="rIdLink58"/>
    <hyperlink ref="J40" display="Open source" r:id="rIdLink59"/>
    <hyperlink ref="J41" display="Open source" r:id="rIdLink60"/>
    <hyperlink ref="J42" display="Open source" r:id="rIdLink61"/>
    <hyperlink ref="S42" display="Open profile" r:id="rIdLink62"/>
    <hyperlink ref="J43" display="Open source" r:id="rIdLink63"/>
    <hyperlink ref="S43" display="Open profile" r:id="rIdLink64"/>
    <hyperlink ref="J44" display="Open source" r:id="rIdLink65"/>
    <hyperlink ref="S44" display="Open profile" r:id="rIdLink66"/>
    <hyperlink ref="J45" display="Open source" r:id="rIdLink67"/>
    <hyperlink ref="S45" display="Open profile" r:id="rIdLink68"/>
    <hyperlink ref="J46" display="Open source" r:id="rIdLink69"/>
    <hyperlink ref="S46" display="Open profile" r:id="rIdLink70"/>
    <hyperlink ref="J47" display="Open source" r:id="rIdLink71"/>
    <hyperlink ref="S47" display="Open profile" r:id="rIdLink72"/>
    <hyperlink ref="J48" display="Open source" r:id="rIdLink73"/>
    <hyperlink ref="S48" display="Open profile" r:id="rIdLink74"/>
    <hyperlink ref="J49" display="Open source" r:id="rIdLink75"/>
    <hyperlink ref="S49" display="Open profile" r:id="rIdLink76"/>
    <hyperlink ref="J50" display="Open source" r:id="rIdLink77"/>
    <hyperlink ref="S50" display="Open profile" r:id="rIdLink78"/>
    <hyperlink ref="J51" display="Open source" r:id="rIdLink79"/>
    <hyperlink ref="J52" display="Open source" r:id="rIdLink80"/>
    <hyperlink ref="S52" display="Open profile" r:id="rIdLink81"/>
    <hyperlink ref="J53" display="Open source" r:id="rIdLink82"/>
    <hyperlink ref="S53" display="Open profile" r:id="rIdLink83"/>
    <hyperlink ref="J54" display="Open source" r:id="rIdLink84"/>
    <hyperlink ref="S54" display="Open profile" r:id="rIdLink85"/>
    <hyperlink ref="J55" display="Open source" r:id="rIdLink86"/>
    <hyperlink ref="S55" display="Open profile" r:id="rIdLink87"/>
  </hyperlinks>
  <pageMargins left="0.7" right="0.7" top="0.75" bottom="0.75" header="0.3" footer="0.3"/>
  <tableParts count="1">
    <tablePart r:id="R8bde394fc5424665"/>
  </tableParts>
</worksheet>
</file>

<file path=xl/worksheets/sheet3.xml><?xml version="1.0" encoding="utf-8"?>
<worksheet xmlns="http://schemas.openxmlformats.org/spreadsheetml/2006/main" xmlns:r="http://schemas.openxmlformats.org/officeDocument/2006/relationships">
  <sheetPr>
    <tabColor rgb="FF8295A6"/>
  </sheetPr>
  <sheetViews>
    <sheetView showGridLines="0" workbookViewId="0"/>
  </sheetViews>
  <sheetFormatPr defaultRowHeight="15"/>
  <cols>
    <col min="1" max="1" width="2.559999942779541" hidden="0" customWidth="1"/>
    <col min="2" max="2" width="20.559999465942383" hidden="0" customWidth="1"/>
    <col min="3" max="3" width="65.55999755859375" hidden="0" customWidth="1"/>
    <col min="4" max="4" width="11.109999656677246" hidden="0" customWidth="1"/>
    <col min="5" max="5" width="13.329999923706055" hidden="0" customWidth="1"/>
    <col min="6" max="6" width="16.110000610351562" hidden="0" customWidth="1"/>
    <col min="7" max="7" width="21.110000610351562" hidden="0" customWidth="1"/>
    <col min="8" max="8" width="21.110000610351562" hidden="0" customWidth="1"/>
  </cols>
  <sheetData>
    <row r="1">
      <c r="A1" s="2"/>
      <c r="B1" s="2"/>
      <c r="C1" s="2"/>
      <c r="D1" s="2"/>
      <c r="E1" s="2"/>
      <c r="F1" s="2"/>
      <c r="G1" s="2"/>
      <c r="H1" s="2"/>
    </row>
    <row r="2" ht="27" customHeight="1">
      <c r="A2" s="2"/>
      <c r="B2" s="3" t="str">
        <v>Method and spend</v>
      </c>
      <c r="C2" s="2"/>
      <c r="D2" s="2"/>
      <c r="E2" s="2"/>
      <c r="F2" s="2"/>
      <c r="G2" s="2"/>
      <c r="H2" s="2"/>
    </row>
    <row r="3">
      <c r="A3" s="2"/>
      <c r="B3" s="2" t="str">
        <v>Collection: 3 October 2026, Asia/Jakarta. Sources were public TikTok records.</v>
      </c>
      <c r="C3" s="2"/>
      <c r="D3" s="2"/>
      <c r="E3" s="2"/>
      <c r="F3" s="2"/>
      <c r="G3" s="2"/>
      <c r="H3" s="2"/>
    </row>
    <row r="4">
      <c r="A4" s="2"/>
      <c r="B4" s="5"/>
      <c r="C4" s="5"/>
      <c r="D4" s="5"/>
      <c r="E4" s="5"/>
      <c r="F4" s="5"/>
      <c r="G4" s="5"/>
      <c r="H4" s="5"/>
    </row>
    <row r="5">
      <c r="A5" s="2"/>
      <c r="B5" s="2"/>
      <c r="C5" s="2"/>
      <c r="D5" s="2"/>
      <c r="E5" s="2"/>
      <c r="F5" s="2"/>
      <c r="G5" s="2"/>
      <c r="H5" s="2"/>
    </row>
    <row r="6" ht="32" customHeight="1">
      <c r="A6" s="2"/>
      <c r="B6" s="10" t="str">
        <v>Method</v>
      </c>
      <c r="C6" s="10" t="str">
        <v>Details</v>
      </c>
      <c r="D6" s="2"/>
      <c r="E6" s="10" t="str">
        <v>Credit reconciliation</v>
      </c>
      <c r="F6" s="10" t="str">
        <v>USD</v>
      </c>
      <c r="G6" s="2"/>
      <c r="H6" s="2"/>
    </row>
    <row r="7" ht="39.599998474121094" customHeight="1">
      <c r="A7" s="2"/>
      <c r="B7" s="15" t="str">
        <v>Question</v>
      </c>
      <c r="C7" s="15" t="str">
        <v>What publicly expressed needs among small creator accounts could inform Blibli affiliate acquisition, activation and retention?</v>
      </c>
      <c r="D7" s="2"/>
      <c r="E7" s="12" t="str">
        <v>Account limit</v>
      </c>
      <c r="F7" s="27" t="n">
        <v>5</v>
      </c>
      <c r="G7" s="2"/>
      <c r="H7" s="2"/>
    </row>
    <row r="8" ht="39.599998474121094" customHeight="1">
      <c r="A8" s="2"/>
      <c r="B8" s="12" t="str">
        <v>Scope</v>
      </c>
      <c r="C8" s="12" t="str">
        <v>Exploratory, purposive research of Indonesian-language public TikTok discussions. Residence is not independently verified.</v>
      </c>
      <c r="D8" s="2"/>
      <c r="E8" s="12" t="str">
        <v>Starting usage</v>
      </c>
      <c r="F8" s="27" t="n">
        <v>0.00003779670223593712</v>
      </c>
      <c r="G8" s="2"/>
      <c r="H8" s="2"/>
    </row>
    <row r="9" ht="39.599998474121094" customHeight="1">
      <c r="A9" s="2"/>
      <c r="B9" s="15" t="str">
        <v>Unit</v>
      </c>
      <c r="C9" s="15" t="str">
        <v>Distinct sampled platform accounts, not verified unique people. Multiple accounts can belong to one person.</v>
      </c>
      <c r="D9" s="2"/>
      <c r="E9" s="12" t="str">
        <v>Final usage</v>
      </c>
      <c r="F9" s="27" t="n">
        <v>1.1492565699068515</v>
      </c>
      <c r="G9" s="2"/>
      <c r="H9" s="2"/>
    </row>
    <row r="10" ht="39.599998474121094" customHeight="1">
      <c r="A10" s="2"/>
      <c r="B10" s="12" t="str">
        <v>Cohorts</v>
      </c>
      <c r="C10" s="12" t="str">
        <v>Under 1,000 followers and 1,000–9,999 followers, based on counts observed at collection. Neither band establishes experience or follower count at publication.</v>
      </c>
      <c r="D10" s="2"/>
      <c r="E10" s="30" t="str">
        <v>Research account delta</v>
      </c>
      <c r="F10" s="31" t="n">
        <f>F9-F8</f>
        <v>1.1492187732046155</v>
      </c>
      <c r="G10" s="2"/>
      <c r="H10" s="2"/>
    </row>
    <row r="11" ht="67.19999694824219" customHeight="1">
      <c r="A11" s="2"/>
      <c r="B11" s="15" t="str">
        <v>Discovery period</v>
      </c>
      <c r="C11" s="15" t="str">
        <v>Baseline discovery aimed at the last 90 days. The overnight extension used eight balanced category/Blibli query slots with five results each and a six-month window. Equal query effort did not yield a balanced analytic sample; search labels are not category or program evidence. Older supplemental material is labeled.</v>
      </c>
      <c r="D11" s="2"/>
      <c r="E11" s="12" t="str">
        <v>Actor run charges</v>
      </c>
      <c r="F11" s="27" t="n">
        <f>SUM(F44:F52)</f>
        <v>1.1484999999999999</v>
      </c>
      <c r="G11" s="2"/>
      <c r="H11" s="2"/>
    </row>
    <row r="12" ht="81" customHeight="1">
      <c r="A12" s="2"/>
      <c r="B12" s="12" t="str">
        <v>Sample flow</v>
      </c>
      <c r="C12" s="12" t="str">
        <v>Baseline: 80 unique discovery posts and 183 actual comments; 42 curated rows, of which 28 rows from 26 qualifying accounts across 10 discussion clusters underpin baseline findings. Overnight extension: 40 distinct retrieved posts, 39 new versus baseline, giving 119 unique discovery posts overall; four supplemental rows retained separately. The evidence ledger now has 46 curated rows. Core account and theme counts are unchanged.</v>
      </c>
      <c r="D12" s="2"/>
      <c r="E12" s="12" t="str">
        <v>Other resource usage</v>
      </c>
      <c r="F12" s="27" t="n">
        <f>F10-F11</f>
        <v>0.0007187732046156636</v>
      </c>
      <c r="G12" s="2"/>
      <c r="H12" s="2"/>
    </row>
    <row r="13" ht="67.19999694824219" customHeight="1">
      <c r="A13" s="2"/>
      <c r="B13" s="15" t="str">
        <v>Selection</v>
      </c>
      <c r="C13" s="15" t="str">
        <v>Indonesian-language affiliate discussions selected for first-person experience, explicit needs, meaningful questions and positive or disconfirming cases. Comment clusters and selected profiles were inspected. Search terms intentionally sought relevant experiences, so counts are not population prevalence.</v>
      </c>
      <c r="D13" s="2"/>
      <c r="E13" s="12" t="str">
        <v>Execution ceiling</v>
      </c>
      <c r="F13" s="27" t="n">
        <v>3.99</v>
      </c>
      <c r="G13" s="2"/>
      <c r="H13" s="2"/>
    </row>
    <row r="14" ht="53.400001525878906" customHeight="1">
      <c r="A14" s="2"/>
      <c r="B14" s="12" t="str">
        <v>Profile checks</v>
      </c>
      <c r="C14" s="12" t="str">
        <v>24 targeted profile candidates requested, 23 returned. Other author counts and context came from post discovery/context output. Missing, private, out-of-range, sponsored or role-ambiguous evidence is excluded from the core findings as marked in the evidence ledger.</v>
      </c>
      <c r="D14" s="2"/>
      <c r="E14" s="12" t="str">
        <v>Unused research allowance</v>
      </c>
      <c r="F14" s="27" t="n">
        <f>F13-F10</f>
        <v>2.840781226795385</v>
      </c>
      <c r="G14" s="2"/>
      <c r="H14" s="2"/>
    </row>
    <row r="15" ht="39.599998474121094" customHeight="1">
      <c r="A15" s="2"/>
      <c r="B15" s="15" t="str">
        <v>Source context</v>
      </c>
      <c r="C15" s="15" t="str">
        <v>Captions and comments dominate. A selected subtitle check corrected an apparent beginner narrative: Day 6 referred to a third account. Music-only transcription was discarded.</v>
      </c>
      <c r="D15" s="2"/>
      <c r="E15" s="30" t="str">
        <v>Account credit remaining</v>
      </c>
      <c r="F15" s="31" t="n">
        <f>F7-F9</f>
        <v>3.8507434300931482</v>
      </c>
      <c r="G15" s="2"/>
      <c r="H15" s="2"/>
    </row>
    <row r="16" ht="67.19999694824219" customHeight="1">
      <c r="A16" s="2"/>
      <c r="B16" s="12" t="str">
        <v>Categories</v>
      </c>
      <c r="C16" s="12" t="str">
        <v>Beauty/personal care, fashion, home/kitchen and mixed contexts appear. Category evidence is based on explicit bios or a labeled single observed post. This is not a balanced category sample; Home &amp; Living as the priority category is unconfirmed and no category winner can be inferred.</v>
      </c>
      <c r="D16" s="2"/>
      <c r="E16" s="2"/>
      <c r="F16" s="2"/>
      <c r="G16" s="2"/>
      <c r="H16" s="2"/>
    </row>
    <row r="17" ht="67.19999694824219" customHeight="1">
      <c r="A17" s="2"/>
      <c r="B17" s="15" t="str">
        <v>Category validation</v>
      </c>
      <c r="C17" s="15" t="str">
        <v>Run the same neutral problem interview and concrete offer comparison across Beauty, Fashion and Home &amp; Living, separately within both follower bands and with experience recorded. Only expand after equivalent category coverage; evaluate product access, effort, demand, eligible earnings and support costs.</v>
      </c>
      <c r="D17" s="2"/>
      <c r="E17" s="2" t="str">
        <v>Free credit only. No paid upgrade.</v>
      </c>
      <c r="F17" s="2"/>
      <c r="G17" s="2"/>
      <c r="H17" s="2"/>
    </row>
    <row r="18" ht="39.599998474121094" customHeight="1">
      <c r="A18" s="2"/>
      <c r="B18" s="12" t="str">
        <v>Geography</v>
      </c>
      <c r="C18" s="12" t="str">
        <v>Zero city-tier-verified accounts. Language, an Indonesia proxy and source location metadata are not proof of residence. The study cannot establish tier-2/3 needs.</v>
      </c>
      <c r="D18" s="2"/>
      <c r="E18" s="2" t="str">
        <v>9 completed Actor runs; 0 active.</v>
      </c>
      <c r="F18" s="2"/>
      <c r="G18" s="2"/>
      <c r="H18" s="2"/>
    </row>
    <row r="19" ht="53.400001525878906" customHeight="1">
      <c r="A19" s="2"/>
      <c r="B19" s="15" t="str">
        <v>Blibli evidence</v>
      </c>
      <c r="C19" s="15" t="str">
        <v>Zero independent current Blibli firsthand accounts in the usable sample. Findings motivate hypotheses for Blibli; they do not establish Blibli dissatisfaction, switching intent, demand or feature gaps.</v>
      </c>
      <c r="D19" s="2"/>
      <c r="E19" s="2"/>
      <c r="F19" s="2"/>
      <c r="G19" s="2"/>
      <c r="H19" s="2"/>
    </row>
    <row r="20" ht="53.400001525878906" customHeight="1">
      <c r="A20" s="2"/>
      <c r="B20" s="12" t="str">
        <v>Existing features</v>
      </c>
      <c r="C20" s="12" t="str">
        <v>Check the current Blibli product before proposing a new capability. Prior official review found link creation, dashboards, missions and communities already described; the useful question is whether people understand and use them.</v>
      </c>
      <c r="D20" s="2"/>
      <c r="E20" s="32" t="str">
        <v>Spend displays six decimals here so the small resource difference remains visible.</v>
      </c>
      <c r="F20" s="32"/>
      <c r="G20" s="32"/>
      <c r="H20" s="32"/>
    </row>
    <row r="21" ht="53.400001525878906" customHeight="1">
      <c r="A21" s="2"/>
      <c r="B21" s="15" t="str">
        <v>Counting</v>
      </c>
      <c r="C21" s="15" t="str">
        <v>Accounts are deduplicated within each theme. Repeated statements are not extra people. Multiple comments under one video share a cluster. Do not add theme counts or use percentages as representative statistics.</v>
      </c>
      <c r="D21" s="2"/>
      <c r="E21" s="32"/>
      <c r="F21" s="32"/>
      <c r="G21" s="32"/>
      <c r="H21" s="32"/>
    </row>
    <row r="22" ht="39.599998474121094" customHeight="1">
      <c r="A22" s="2"/>
      <c r="B22" s="12" t="str">
        <v>Paraphrases</v>
      </c>
      <c r="C22" s="12" t="str">
        <v>Statement summaries are English paraphrases of the source material, not verbatim quotations. Preserve source URLs and comment identifiers for checking.</v>
      </c>
      <c r="D22" s="2"/>
      <c r="E22" s="4" t="str">
        <v>Source: account usage and run records from Apify MCP, final check 3 October 2026.</v>
      </c>
      <c r="F22" s="2"/>
      <c r="G22" s="2"/>
      <c r="H22" s="2"/>
    </row>
    <row r="23" ht="39.599998474121094" customHeight="1">
      <c r="A23" s="2"/>
      <c r="B23" s="15" t="str">
        <v>Causal limits</v>
      </c>
      <c r="C23" s="15" t="str">
        <v>Self-reports do not verify platform errors, lost money, completed payments, churn, contracts or causal effects. Questions, aspirations and observed outcomes are distinguished.</v>
      </c>
      <c r="D23" s="2"/>
      <c r="E23" s="2"/>
      <c r="F23" s="2"/>
      <c r="G23" s="2"/>
      <c r="H23" s="2"/>
    </row>
    <row r="24" ht="39.599998474121094" customHeight="1">
      <c r="A24" s="2"/>
      <c r="B24" s="12" t="str">
        <v>Privacy</v>
      </c>
      <c r="C24" s="12" t="str">
        <v>Public source handles and source URLs are retained for traceability. Personal contact details and unrelated profile information are omitted.</v>
      </c>
      <c r="D24" s="2"/>
      <c r="E24" s="2"/>
      <c r="F24" s="2"/>
      <c r="G24" s="2"/>
      <c r="H24" s="2"/>
    </row>
    <row r="25">
      <c r="A25" s="2"/>
      <c r="B25" s="2"/>
      <c r="C25" s="2"/>
      <c r="D25" s="2"/>
      <c r="E25" s="2"/>
      <c r="F25" s="2"/>
      <c r="G25" s="2"/>
      <c r="H25" s="2"/>
    </row>
    <row r="26">
      <c r="A26" s="2"/>
      <c r="B26" s="2"/>
      <c r="C26" s="2"/>
      <c r="D26" s="2"/>
      <c r="E26" s="2"/>
      <c r="F26" s="2"/>
      <c r="G26" s="2"/>
      <c r="H26" s="2"/>
    </row>
    <row r="27" ht="32" customHeight="1">
      <c r="A27" s="2"/>
      <c r="B27" s="10" t="str">
        <v>Sample reconciliation</v>
      </c>
      <c r="C27" s="10" t="str">
        <v>Observed count</v>
      </c>
      <c r="D27" s="2"/>
      <c r="E27" s="10" t="str">
        <v>Overnight extension</v>
      </c>
      <c r="F27" s="10" t="str">
        <v>Count</v>
      </c>
      <c r="G27" s="2"/>
      <c r="H27" s="2"/>
    </row>
    <row r="28" ht="45" customHeight="1">
      <c r="A28" s="2"/>
      <c r="B28" s="11" t="str">
        <v>Baseline unique discovery posts</v>
      </c>
      <c r="C28" s="26" t="n">
        <v>80</v>
      </c>
      <c r="D28" s="2"/>
      <c r="E28" s="12" t="str">
        <v>Retrieved posts</v>
      </c>
      <c r="F28" s="25" t="n">
        <v>40</v>
      </c>
      <c r="G28" s="2"/>
      <c r="H28" s="2"/>
    </row>
    <row r="29" ht="45" customHeight="1">
      <c r="A29" s="2"/>
      <c r="B29" s="11" t="str">
        <v>Actual comments</v>
      </c>
      <c r="C29" s="26" t="n">
        <v>183</v>
      </c>
      <c r="D29" s="2"/>
      <c r="E29" s="12" t="str">
        <v>New unique posts</v>
      </c>
      <c r="F29" s="25" t="n">
        <v>39</v>
      </c>
      <c r="G29" s="2"/>
      <c r="H29" s="2"/>
    </row>
    <row r="30" ht="45" customHeight="1">
      <c r="A30" s="2"/>
      <c r="B30" s="11" t="str">
        <v>Commented video clusters</v>
      </c>
      <c r="C30" s="26" t="n">
        <v>10</v>
      </c>
      <c r="D30" s="2"/>
      <c r="E30" s="12" t="str">
        <v>All unique discovery posts</v>
      </c>
      <c r="F30" s="25" t="n">
        <v>119</v>
      </c>
      <c r="G30" s="2"/>
      <c r="H30" s="2"/>
    </row>
    <row r="31" ht="45" customHeight="1">
      <c r="A31" s="2"/>
      <c r="B31" s="11" t="str">
        <v>Total curated evidence rows</v>
      </c>
      <c r="C31" s="26" t="n">
        <v>46</v>
      </c>
      <c r="D31" s="2"/>
      <c r="E31" s="12" t="str">
        <v>Baseline evidence rows</v>
      </c>
      <c r="F31" s="25" t="n">
        <v>42</v>
      </c>
      <c r="G31" s="2"/>
      <c r="H31" s="2"/>
    </row>
    <row r="32" ht="45" customHeight="1">
      <c r="A32" s="2"/>
      <c r="B32" s="11" t="str">
        <v>Core evidence rows</v>
      </c>
      <c r="C32" s="26" t="n">
        <f>COUNTIFS('Evidence'!B10:B55,"Core")</f>
        <v>28</v>
      </c>
      <c r="D32" s="2"/>
      <c r="E32" s="12" t="str">
        <v>Supplemental evidence rows</v>
      </c>
      <c r="F32" s="25" t="n">
        <v>4</v>
      </c>
      <c r="G32" s="2"/>
      <c r="H32" s="2"/>
    </row>
    <row r="33" ht="31" customHeight="1">
      <c r="A33" s="2"/>
      <c r="B33" s="11" t="str">
        <v>Qualifying accounts</v>
      </c>
      <c r="C33" s="26" t="n">
        <v>26</v>
      </c>
      <c r="D33" s="2"/>
      <c r="E33" s="2"/>
      <c r="F33" s="2"/>
      <c r="G33" s="2"/>
      <c r="H33" s="2"/>
    </row>
    <row r="34" ht="31" customHeight="1">
      <c r="A34" s="2"/>
      <c r="B34" s="11" t="str">
        <v>Accounts 1,000–9,999</v>
      </c>
      <c r="C34" s="26" t="n">
        <v>20</v>
      </c>
      <c r="D34" s="2"/>
      <c r="E34" s="2"/>
      <c r="F34" s="2"/>
      <c r="G34" s="2"/>
      <c r="H34" s="2"/>
    </row>
    <row r="35" ht="31" customHeight="1">
      <c r="A35" s="2"/>
      <c r="B35" s="11" t="str">
        <v>Accounts below 1,000</v>
      </c>
      <c r="C35" s="26" t="n">
        <v>6</v>
      </c>
      <c r="D35" s="2"/>
      <c r="E35" s="2"/>
      <c r="F35" s="2"/>
      <c r="G35" s="2"/>
      <c r="H35" s="2"/>
    </row>
    <row r="36" ht="31" customHeight="1">
      <c r="A36" s="2"/>
      <c r="B36" s="11" t="str">
        <v>Core discussion clusters</v>
      </c>
      <c r="C36" s="26" t="n">
        <v>10</v>
      </c>
      <c r="D36" s="2"/>
      <c r="E36" s="2"/>
      <c r="F36" s="2"/>
      <c r="G36" s="2"/>
      <c r="H36" s="2"/>
    </row>
    <row r="37" ht="31" customHeight="1">
      <c r="A37" s="2"/>
      <c r="B37" s="11" t="str">
        <v>Current Blibli firsthand accounts</v>
      </c>
      <c r="C37" s="26" t="n">
        <v>0</v>
      </c>
      <c r="D37" s="2"/>
      <c r="E37" s="2"/>
      <c r="F37" s="2"/>
      <c r="G37" s="2"/>
      <c r="H37" s="2"/>
    </row>
    <row r="38" ht="31" customHeight="1">
      <c r="A38" s="2"/>
      <c r="B38" s="11" t="str">
        <v>City-tier-verified accounts</v>
      </c>
      <c r="C38" s="26" t="n">
        <v>0</v>
      </c>
      <c r="D38" s="2"/>
      <c r="E38" s="2"/>
      <c r="F38" s="2"/>
      <c r="G38" s="2"/>
      <c r="H38" s="2"/>
    </row>
    <row r="39">
      <c r="A39" s="2"/>
      <c r="B39" s="2"/>
      <c r="C39" s="2"/>
      <c r="D39" s="2"/>
      <c r="E39" s="2"/>
      <c r="F39" s="2"/>
      <c r="G39" s="2"/>
      <c r="H39" s="2"/>
    </row>
    <row r="40">
      <c r="A40" s="2"/>
      <c r="B40" s="2"/>
      <c r="C40" s="2"/>
      <c r="D40" s="2"/>
      <c r="E40" s="2"/>
      <c r="F40" s="2"/>
      <c r="G40" s="2"/>
      <c r="H40" s="2"/>
    </row>
    <row r="41">
      <c r="A41" s="2"/>
      <c r="B41" s="33" t="str">
        <v>Actor run ledger</v>
      </c>
      <c r="C41" s="2"/>
      <c r="D41" s="2"/>
      <c r="E41" s="2"/>
      <c r="F41" s="2"/>
      <c r="G41" s="2"/>
      <c r="H41" s="2"/>
    </row>
    <row r="42">
      <c r="A42" s="2"/>
      <c r="B42" s="2"/>
      <c r="C42" s="2"/>
      <c r="D42" s="2"/>
      <c r="E42" s="2"/>
      <c r="F42" s="2"/>
      <c r="G42" s="2"/>
      <c r="H42" s="2"/>
    </row>
    <row r="43" ht="32" customHeight="1">
      <c r="A43" s="2"/>
      <c r="B43" s="10" t="str">
        <v>Purpose</v>
      </c>
      <c r="C43" s="10" t="str">
        <v>Actor</v>
      </c>
      <c r="D43" s="10" t="str">
        <v>Status</v>
      </c>
      <c r="E43" s="10" t="str">
        <v>Rows returned</v>
      </c>
      <c r="F43" s="10" t="str">
        <v>Charge (USD)</v>
      </c>
      <c r="G43" s="10" t="str">
        <v>Run</v>
      </c>
      <c r="H43" s="10" t="str">
        <v>Dataset</v>
      </c>
    </row>
    <row r="44" ht="36" customHeight="1">
      <c r="A44" s="2"/>
      <c r="B44" s="15" t="str">
        <v>Pilot discovery</v>
      </c>
      <c r="C44" s="15" t="str">
        <v>clockworks/tiktok-scraper</v>
      </c>
      <c r="D44" s="15" t="str">
        <v>SUCCEEDED</v>
      </c>
      <c r="E44" s="35" t="n">
        <v>20</v>
      </c>
      <c r="F44" s="36" t="n">
        <v>0.101</v>
      </c>
      <c r="G44" s="18" t="str">
        <v>toe1qVy3TJUhnuyda</v>
      </c>
      <c r="H44" s="18" t="str">
        <v>emh5tr1IkpKUORZrO</v>
      </c>
    </row>
    <row r="45" ht="36" customHeight="1">
      <c r="A45" s="2"/>
      <c r="B45" s="12" t="str">
        <v>Pilot comments</v>
      </c>
      <c r="C45" s="12" t="str">
        <v>clockworks/tiktok-comments-scraper</v>
      </c>
      <c r="D45" s="12" t="str">
        <v>SUCCEEDED</v>
      </c>
      <c r="E45" s="22" t="n">
        <v>35</v>
      </c>
      <c r="F45" s="34" t="n">
        <v>0.043750000000000004</v>
      </c>
      <c r="G45" s="20" t="str">
        <v>mfBfxbPr3AOQmN6iv</v>
      </c>
      <c r="H45" s="20" t="str">
        <v>me4EeJVheEwjQqQQd</v>
      </c>
    </row>
    <row r="46" ht="36" customHeight="1">
      <c r="A46" s="2"/>
      <c r="B46" s="15" t="str">
        <v>Pilot profile checks</v>
      </c>
      <c r="C46" s="15" t="str">
        <v>clockworks/tiktok-profile-scraper</v>
      </c>
      <c r="D46" s="15" t="str">
        <v>SUCCEEDED</v>
      </c>
      <c r="E46" s="35" t="n">
        <v>14</v>
      </c>
      <c r="F46" s="36" t="n">
        <v>0.042</v>
      </c>
      <c r="G46" s="18" t="str">
        <v>NU5eXJ1byanjj4fTS</v>
      </c>
      <c r="H46" s="18" t="str">
        <v>3PvVBWLuyDOoqT7QU</v>
      </c>
    </row>
    <row r="47" ht="36" customHeight="1">
      <c r="A47" s="2"/>
      <c r="B47" s="12" t="str">
        <v>Expanded discovery</v>
      </c>
      <c r="C47" s="12" t="str">
        <v>clockworks/tiktok-scraper</v>
      </c>
      <c r="D47" s="12" t="str">
        <v>SUCCEEDED</v>
      </c>
      <c r="E47" s="22" t="n">
        <v>48</v>
      </c>
      <c r="F47" s="34" t="n">
        <v>0.3034</v>
      </c>
      <c r="G47" s="20" t="str">
        <v>bj394ICWXrg9ycF0F</v>
      </c>
      <c r="H47" s="20" t="str">
        <v>wXCYXEabkaj9cFPGj</v>
      </c>
    </row>
    <row r="48" ht="36" customHeight="1">
      <c r="A48" s="2"/>
      <c r="B48" s="15" t="str">
        <v>Expanded comments</v>
      </c>
      <c r="C48" s="15" t="str">
        <v>clockworks/tiktok-comments-scraper</v>
      </c>
      <c r="D48" s="15" t="str">
        <v>SUCCEEDED</v>
      </c>
      <c r="E48" s="35" t="n">
        <v>149</v>
      </c>
      <c r="F48" s="36" t="n">
        <v>0.18625</v>
      </c>
      <c r="G48" s="18" t="str">
        <v>Qo0sUzylWTcCuCrpt</v>
      </c>
      <c r="H48" s="18" t="str">
        <v>U5lCBf1noz4RjL9Hi</v>
      </c>
    </row>
    <row r="49" ht="36" customHeight="1">
      <c r="A49" s="2"/>
      <c r="B49" s="12" t="str">
        <v>Blibli hashtag check</v>
      </c>
      <c r="C49" s="12" t="str">
        <v>clockworks/tiktok-scraper</v>
      </c>
      <c r="D49" s="12" t="str">
        <v>SUCCEEDED</v>
      </c>
      <c r="E49" s="22" t="n">
        <v>13</v>
      </c>
      <c r="F49" s="34" t="n">
        <v>0.066</v>
      </c>
      <c r="G49" s="20" t="str">
        <v>bAaqeqWGudbankRcx</v>
      </c>
      <c r="H49" s="20" t="str">
        <v>HZmDcem4BjyuSrheQ</v>
      </c>
    </row>
    <row r="50" ht="36" customHeight="1">
      <c r="A50" s="2"/>
      <c r="B50" s="15" t="str">
        <v>Targeted profile checks</v>
      </c>
      <c r="C50" s="15" t="str">
        <v>clockworks/tiktok-profile-scraper</v>
      </c>
      <c r="D50" s="15" t="str">
        <v>SUCCEEDED</v>
      </c>
      <c r="E50" s="35" t="n">
        <v>15</v>
      </c>
      <c r="F50" s="36" t="n">
        <v>0.045</v>
      </c>
      <c r="G50" s="18" t="str">
        <v>d5XfmVVRDsQcO4te2</v>
      </c>
      <c r="H50" s="18" t="str">
        <v>dOxuS3xq7X4BQitTJ</v>
      </c>
    </row>
    <row r="51" ht="36" customHeight="1">
      <c r="A51" s="2"/>
      <c r="B51" s="12" t="str">
        <v>Selective video context</v>
      </c>
      <c r="C51" s="12" t="str">
        <v>clockworks/tiktok-scraper</v>
      </c>
      <c r="D51" s="12" t="str">
        <v>SUCCEEDED</v>
      </c>
      <c r="E51" s="22" t="n">
        <v>3</v>
      </c>
      <c r="F51" s="34" t="n">
        <v>0.1081</v>
      </c>
      <c r="G51" s="20" t="str">
        <v>qcg1UVcgMzWbBUHkR</v>
      </c>
      <c r="H51" s="20" t="str">
        <v>0WvQ0ADCVteqHDo6k</v>
      </c>
    </row>
    <row r="52" ht="48" customHeight="1">
      <c r="A52" s="2"/>
      <c r="B52" s="15" t="str">
        <v>Overnight category and Blibli discovery</v>
      </c>
      <c r="C52" s="15" t="str">
        <v>clockworks/tiktok-scraper</v>
      </c>
      <c r="D52" s="15" t="str">
        <v>SUCCEEDED</v>
      </c>
      <c r="E52" s="35" t="n">
        <v>40</v>
      </c>
      <c r="F52" s="36" t="n">
        <v>0.253</v>
      </c>
      <c r="G52" s="18" t="str">
        <v>4EdTg9j4B8QaveFls</v>
      </c>
      <c r="H52" s="18" t="str">
        <v>E5hog10WwqoQonuTO</v>
      </c>
    </row>
    <row r="53" ht="23" customHeight="1">
      <c r="A53" s="2"/>
      <c r="B53" s="2" t="str">
        <v>Returned rows can include errors or repeated accounts. Run charges reconcile to the account delta plus small resource costs.</v>
      </c>
      <c r="C53" s="2"/>
      <c r="D53" s="2"/>
      <c r="E53" s="2"/>
      <c r="F53" s="2"/>
      <c r="G53" s="2"/>
      <c r="H53" s="2"/>
    </row>
    <row r="54" ht="23" customHeight="1">
      <c r="A54" s="2"/>
      <c r="B54" s="2" t="str">
        <v>Discovery and comment totals exclude the selective context pass. An unavailable post and an error record are retained in the collection audit.</v>
      </c>
      <c r="C54" s="2"/>
      <c r="D54" s="2"/>
      <c r="E54" s="2"/>
      <c r="F54" s="2"/>
      <c r="G54" s="2"/>
      <c r="H54" s="2"/>
    </row>
    <row r="55">
      <c r="A55" s="2"/>
      <c r="B55" s="2"/>
      <c r="C55" s="2"/>
      <c r="D55" s="2"/>
      <c r="E55" s="2"/>
      <c r="F55" s="2"/>
      <c r="G55" s="2"/>
      <c r="H55" s="2"/>
    </row>
    <row r="56">
      <c r="A56" s="2"/>
      <c r="B56" s="2"/>
      <c r="C56" s="2"/>
      <c r="D56" s="2"/>
      <c r="E56" s="2"/>
      <c r="F56" s="2"/>
      <c r="G56" s="2"/>
      <c r="H56" s="2"/>
    </row>
    <row r="57">
      <c r="A57" s="2"/>
      <c r="B57" s="33" t="str">
        <v>Validation metrics and economic checks</v>
      </c>
      <c r="C57" s="2"/>
      <c r="D57" s="2"/>
      <c r="E57" s="2"/>
      <c r="F57" s="2"/>
      <c r="G57" s="2"/>
      <c r="H57" s="2"/>
    </row>
    <row r="58">
      <c r="A58" s="2"/>
      <c r="B58" s="2"/>
      <c r="C58" s="2"/>
      <c r="D58" s="2"/>
      <c r="E58" s="2"/>
      <c r="F58" s="2"/>
      <c r="G58" s="2"/>
      <c r="H58" s="2"/>
    </row>
    <row r="59" ht="32" customHeight="1">
      <c r="A59" s="2"/>
      <c r="B59" s="10" t="str">
        <v>Theme</v>
      </c>
      <c r="C59" s="10" t="str">
        <v>Measure and safeguard</v>
      </c>
      <c r="D59" s="2"/>
      <c r="E59" s="2"/>
      <c r="F59" s="2"/>
      <c r="G59" s="2"/>
      <c r="H59" s="2"/>
    </row>
    <row r="60" ht="67.19999694824219" customHeight="1">
      <c r="A60" s="2"/>
      <c r="B60" s="15" t="str">
        <v>Earnings clarity</v>
      </c>
      <c r="C60" s="15" t="str">
        <v>Comprehension; unresolved earnings enquiries; first approved commission; first payment. Keep each event separate.
Start with communication and support changes; do not guarantee payment for ineligible or returned orders.</v>
      </c>
      <c r="D60" s="2"/>
      <c r="E60" s="2"/>
      <c r="F60" s="2"/>
      <c r="G60" s="2"/>
      <c r="H60" s="2"/>
    </row>
    <row r="61" ht="67.19999694824219" customHeight="1">
      <c r="A61" s="2"/>
      <c r="B61" s="12" t="str">
        <v>Product access</v>
      </c>
      <c r="C61" s="12" t="str">
        <v>Application-to-approval; approval-to-content; content-to-approved sale; cost per creator reaching first approved commission.
Track product, shipping, store staffing and support costs. No blanket free-product promise; store access and filming permission must be validated.</v>
      </c>
      <c r="D61" s="2"/>
      <c r="E61" s="2"/>
      <c r="F61" s="2"/>
      <c r="G61" s="2"/>
      <c r="H61" s="2"/>
    </row>
    <row r="62" ht="67.19999694824219" customHeight="1">
      <c r="A62" s="2"/>
      <c r="B62" s="15" t="str">
        <v>Stable compensation</v>
      </c>
      <c r="C62" s="15" t="str">
        <v>Correct understanding of terms; creator uptake and repeat activity; realized eligible earnings per effort; contribution after incentives.
Any period guarantee is a proposed test, not an existing Blibli commitment. Model commission, reversals, support and sample costs.</v>
      </c>
      <c r="D62" s="2"/>
      <c r="E62" s="2"/>
      <c r="F62" s="2"/>
      <c r="G62" s="2"/>
      <c r="H62" s="2"/>
    </row>
    <row r="63" ht="67.19999694824219" customHeight="1">
      <c r="A63" s="2"/>
      <c r="B63" s="12" t="str">
        <v>Early proof</v>
      </c>
      <c r="C63" s="12" t="str">
        <v>First qualified content; time to first eligible sale; first approved commission; first payment; later repeat activity.
Measure incremental activation and retained contribution; a subsidized first event can mask weak product demand.</v>
      </c>
      <c r="D63" s="2"/>
      <c r="E63" s="2"/>
      <c r="F63" s="2"/>
      <c r="G63" s="2"/>
      <c r="H63" s="2"/>
    </row>
    <row r="64" ht="67.19999694824219" customHeight="1">
      <c r="A64" s="2"/>
      <c r="B64" s="15" t="str">
        <v>Practical help</v>
      </c>
      <c r="C64" s="15" t="str">
        <v>Completion of the blocked task; usable content; time required; subsequent eligible sales; support cost per additional activated creator.
Scripts, feedback and tools are proposed solutions. Do not assume more training, a new community, or account level itself drives earnings.</v>
      </c>
      <c r="D64" s="2"/>
      <c r="E64" s="2"/>
      <c r="F64" s="2"/>
      <c r="G64" s="2"/>
      <c r="H64" s="2"/>
    </row>
    <row r="65" ht="67.19999694824219" customHeight="1">
      <c r="A65" s="2"/>
      <c r="B65" s="12" t="str">
        <v>Mission clarity</v>
      </c>
      <c r="C65" s="12" t="str">
        <v>Rule comprehension; successful qualifying completion; disputes per participant; incremental contribution after rewards.
Verify actual campaign rules before treating a complaint as a product issue. Do not import a competitor’s mechanics without checking fit.</v>
      </c>
      <c r="D65" s="2"/>
      <c r="E65" s="2"/>
      <c r="F65" s="2"/>
      <c r="G65" s="2"/>
      <c r="H65" s="2"/>
    </row>
    <row r="66">
      <c r="A66" s="2"/>
      <c r="B66" s="2"/>
      <c r="C66" s="2"/>
      <c r="D66" s="2"/>
      <c r="E66" s="2"/>
      <c r="F66" s="2"/>
      <c r="G66" s="2"/>
      <c r="H66" s="2"/>
    </row>
    <row r="67" ht="32" customHeight="1">
      <c r="A67" s="2"/>
      <c r="B67" s="10" t="str">
        <v>Extension context</v>
      </c>
      <c r="C67" s="10" t="str">
        <v>Details</v>
      </c>
      <c r="D67" s="2"/>
      <c r="E67" s="2"/>
      <c r="F67" s="2"/>
      <c r="G67" s="2"/>
      <c r="H67" s="2"/>
    </row>
    <row r="68" ht="67.19999694824219" customHeight="1">
      <c r="A68" s="2"/>
      <c r="B68" s="12" t="str">
        <v>Supplemental context</v>
      </c>
      <c r="C68" s="12" t="str">
        <v>OV01 and OV02 add current first-person stagnation context in Fashion and Home &amp; Living, without an explicit coaching request. OV03 adds older positive household-use-of-earnings context. OV04 is an ambiguous first milestone. No additional core-qualified Blibli firsthand source or verified city tier was established.</v>
      </c>
      <c r="D68" s="2"/>
      <c r="E68" s="2"/>
      <c r="F68" s="2"/>
      <c r="G68" s="2"/>
      <c r="H68" s="2"/>
    </row>
    <row r="69" ht="81" customHeight="1">
      <c r="A69" s="2"/>
      <c r="B69" s="12" t="str">
        <v>Official and web review</v>
      </c>
      <c r="C69" s="12" t="str">
        <v>Two bounded independent creator-web search batches yielded zero new core-eligible accounts. One older personal recap offers recruitment context but is indexed-only and outside the current nano scope; a 2016 complaint was resolved and excluded. An official-source review documented existing program capabilities and direct-program versus YouTube Shopping differences; detailed source register is in the accompanying strategy brief.</v>
      </c>
      <c r="D69" s="2"/>
      <c r="E69" s="2"/>
      <c r="F69" s="2"/>
      <c r="G69" s="2"/>
      <c r="H69" s="2"/>
    </row>
    <row r="70">
      <c r="A70" s="2"/>
      <c r="B70" s="2"/>
      <c r="C70" s="2"/>
      <c r="D70" s="2"/>
      <c r="E70" s="2"/>
      <c r="F70" s="2"/>
      <c r="G70" s="2"/>
      <c r="H70" s="2"/>
    </row>
    <row r="71">
      <c r="A71" s="2"/>
      <c r="B71" s="2"/>
      <c r="C71" s="2"/>
      <c r="D71" s="2"/>
      <c r="E71" s="2"/>
      <c r="F71" s="2"/>
      <c r="G71" s="2"/>
      <c r="H71" s="2"/>
    </row>
    <row r="72">
      <c r="A72" s="2"/>
      <c r="B72" s="2"/>
      <c r="C72" s="2"/>
      <c r="D72" s="2"/>
      <c r="E72" s="2"/>
      <c r="F72" s="2"/>
      <c r="G72" s="2"/>
      <c r="H72" s="2"/>
    </row>
    <row r="73">
      <c r="A73" s="2"/>
      <c r="B73" s="2"/>
      <c r="C73" s="2"/>
      <c r="D73" s="2"/>
      <c r="E73" s="2"/>
      <c r="F73" s="2"/>
      <c r="G73" s="2"/>
      <c r="H73" s="2"/>
    </row>
    <row r="74">
      <c r="A74" s="2"/>
      <c r="B74" s="2"/>
      <c r="C74" s="2"/>
      <c r="D74" s="2"/>
      <c r="E74" s="2"/>
      <c r="F74" s="2"/>
      <c r="G74" s="2"/>
      <c r="H74" s="2"/>
    </row>
    <row r="75">
      <c r="A75" s="2"/>
      <c r="B75" s="2"/>
      <c r="C75" s="2"/>
      <c r="D75" s="2"/>
      <c r="E75" s="2"/>
      <c r="F75" s="2"/>
      <c r="G75" s="2"/>
      <c r="H75" s="2"/>
    </row>
    <row r="76">
      <c r="A76" s="2"/>
      <c r="B76" s="2"/>
      <c r="C76" s="2"/>
      <c r="D76" s="2"/>
      <c r="E76" s="2"/>
      <c r="F76" s="2"/>
      <c r="G76" s="2"/>
      <c r="H76" s="2"/>
    </row>
    <row r="77">
      <c r="A77" s="2"/>
      <c r="B77" s="2"/>
      <c r="C77" s="2"/>
      <c r="D77" s="2"/>
      <c r="E77" s="2"/>
      <c r="F77" s="2"/>
      <c r="G77" s="2"/>
      <c r="H77" s="2"/>
    </row>
    <row r="78">
      <c r="A78" s="2"/>
      <c r="B78" s="2"/>
      <c r="C78" s="2"/>
      <c r="D78" s="2"/>
      <c r="E78" s="2"/>
      <c r="F78" s="2"/>
      <c r="G78" s="2"/>
      <c r="H78" s="2"/>
    </row>
    <row r="79">
      <c r="A79" s="2"/>
      <c r="B79" s="2"/>
      <c r="C79" s="2"/>
      <c r="D79" s="2"/>
      <c r="E79" s="2"/>
      <c r="F79" s="2"/>
      <c r="G79" s="2"/>
      <c r="H79" s="2"/>
    </row>
    <row r="80">
      <c r="A80" s="2"/>
      <c r="B80" s="2"/>
      <c r="C80" s="2"/>
      <c r="D80" s="2"/>
      <c r="E80" s="2"/>
      <c r="F80" s="2"/>
      <c r="G80" s="2"/>
      <c r="H80" s="2"/>
    </row>
    <row r="81">
      <c r="A81" s="2"/>
      <c r="B81" s="2"/>
      <c r="C81" s="2"/>
      <c r="D81" s="2"/>
      <c r="E81" s="2"/>
      <c r="F81" s="2"/>
      <c r="G81" s="2"/>
      <c r="H81" s="2"/>
    </row>
    <row r="82">
      <c r="A82" s="2"/>
      <c r="B82" s="2"/>
      <c r="C82" s="2"/>
      <c r="D82" s="2"/>
      <c r="E82" s="2"/>
      <c r="F82" s="2"/>
      <c r="G82" s="2"/>
      <c r="H82" s="2"/>
    </row>
    <row r="83">
      <c r="A83" s="2"/>
      <c r="B83" s="2"/>
      <c r="C83" s="2"/>
      <c r="D83" s="2"/>
      <c r="E83" s="2"/>
      <c r="F83" s="2"/>
      <c r="G83" s="2"/>
      <c r="H83" s="2"/>
    </row>
    <row r="84">
      <c r="A84" s="2"/>
      <c r="B84" s="2"/>
      <c r="C84" s="2"/>
      <c r="D84" s="2"/>
      <c r="E84" s="2"/>
      <c r="F84" s="2"/>
      <c r="G84" s="2"/>
      <c r="H84" s="2"/>
    </row>
    <row r="85">
      <c r="A85" s="2"/>
      <c r="B85" s="2"/>
      <c r="C85" s="2"/>
      <c r="D85" s="2"/>
      <c r="E85" s="2"/>
      <c r="F85" s="2"/>
      <c r="G85" s="2"/>
      <c r="H85" s="2"/>
    </row>
    <row r="86">
      <c r="A86" s="2"/>
      <c r="B86" s="2"/>
      <c r="C86" s="2"/>
      <c r="D86" s="2"/>
      <c r="E86" s="2"/>
      <c r="F86" s="2"/>
      <c r="G86" s="2"/>
      <c r="H86" s="2"/>
    </row>
    <row r="87">
      <c r="A87" s="2"/>
      <c r="B87" s="2"/>
      <c r="C87" s="2"/>
      <c r="D87" s="2"/>
      <c r="E87" s="2"/>
      <c r="F87" s="2"/>
      <c r="G87" s="2"/>
      <c r="H87" s="2"/>
    </row>
    <row r="88">
      <c r="A88" s="2"/>
      <c r="B88" s="2"/>
      <c r="C88" s="2"/>
      <c r="D88" s="2"/>
      <c r="E88" s="2"/>
      <c r="F88" s="2"/>
      <c r="G88" s="2"/>
      <c r="H88" s="2"/>
    </row>
    <row r="89">
      <c r="A89" s="2"/>
      <c r="B89" s="2"/>
      <c r="C89" s="2"/>
      <c r="D89" s="2"/>
      <c r="E89" s="2"/>
      <c r="F89" s="2"/>
      <c r="G89" s="2"/>
      <c r="H89" s="2"/>
    </row>
    <row r="90">
      <c r="A90" s="2"/>
      <c r="B90" s="2"/>
      <c r="C90" s="2"/>
      <c r="D90" s="2"/>
      <c r="E90" s="2"/>
      <c r="F90" s="2"/>
      <c r="G90" s="2"/>
      <c r="H90" s="2"/>
    </row>
  </sheetData>
  <hyperlinks>
    <hyperlink ref="G44" display="toe1qVy3TJUhnuyda" r:id="rIdLink1"/>
    <hyperlink ref="H44" display="emh5tr1IkpKUORZrO" r:id="rIdLink2"/>
    <hyperlink ref="G45" display="mfBfxbPr3AOQmN6iv" r:id="rIdLink3"/>
    <hyperlink ref="H45" display="me4EeJVheEwjQqQQd" r:id="rIdLink4"/>
    <hyperlink ref="G46" display="NU5eXJ1byanjj4fTS" r:id="rIdLink5"/>
    <hyperlink ref="H46" display="3PvVBWLuyDOoqT7QU" r:id="rIdLink6"/>
    <hyperlink ref="G47" display="bj394ICWXrg9ycF0F" r:id="rIdLink7"/>
    <hyperlink ref="H47" display="wXCYXEabkaj9cFPGj" r:id="rIdLink8"/>
    <hyperlink ref="G48" display="Qo0sUzylWTcCuCrpt" r:id="rIdLink9"/>
    <hyperlink ref="H48" display="U5lCBf1noz4RjL9Hi" r:id="rIdLink10"/>
    <hyperlink ref="G49" display="bAaqeqWGudbankRcx" r:id="rIdLink11"/>
    <hyperlink ref="H49" display="HZmDcem4BjyuSrheQ" r:id="rIdLink12"/>
    <hyperlink ref="G50" display="d5XfmVVRDsQcO4te2" r:id="rIdLink13"/>
    <hyperlink ref="H50" display="dOxuS3xq7X4BQitTJ" r:id="rIdLink14"/>
    <hyperlink ref="G51" display="qcg1UVcgMzWbBUHkR" r:id="rIdLink15"/>
    <hyperlink ref="H51" display="0WvQ0ADCVteqHDo6k" r:id="rIdLink16"/>
    <hyperlink ref="G52" display="4EdTg9j4B8QaveFls" r:id="rIdLink17"/>
    <hyperlink ref="H52" display="E5hog10WwqoQonuTO" r:id="rIdLink18"/>
  </hyperlinks>
  <pageMargins left="0.7" right="0.7" top="0.75" bottom="0.75" header="0.3" footer="0.3"/>
</worksheet>
</file>